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i Chittoni\Documents\GitHub\datalab\2_labs\win\hegde_pec\"/>
    </mc:Choice>
  </mc:AlternateContent>
  <xr:revisionPtr revIDLastSave="0" documentId="13_ncr:1_{E1F7DB24-37E4-485A-801A-8C341BFC98AF}" xr6:coauthVersionLast="47" xr6:coauthVersionMax="47" xr10:uidLastSave="{00000000-0000-0000-0000-000000000000}"/>
  <bookViews>
    <workbookView xWindow="-108" yWindow="-108" windowWidth="23256" windowHeight="13896" activeTab="1" xr2:uid="{57D61AE1-5CB7-4048-8251-7DDB0149F6E1}"/>
  </bookViews>
  <sheets>
    <sheet name="Resumo" sheetId="4" r:id="rId1"/>
    <sheet name="Inputs" sheetId="2" r:id="rId2"/>
    <sheet name="Base" sheetId="3" r:id="rId3"/>
  </sheets>
  <definedNames>
    <definedName name="\" hidden="1">#REF!</definedName>
    <definedName name="\\\\\\\\\\\\\\\\\\\" hidden="1">#REF!</definedName>
    <definedName name="\1">#REF!</definedName>
    <definedName name="\a">#REF!</definedName>
    <definedName name="\c">#REF!</definedName>
    <definedName name="\D">#REF!</definedName>
    <definedName name="\E">#REF!</definedName>
    <definedName name="\F">#REF!</definedName>
    <definedName name="\H">#REF!</definedName>
    <definedName name="\i">#REF!</definedName>
    <definedName name="\J">#REF!</definedName>
    <definedName name="\l">#REF!</definedName>
    <definedName name="\M">#REF!</definedName>
    <definedName name="\P">#REF!</definedName>
    <definedName name="\q">#REF!</definedName>
    <definedName name="\R">#REF!</definedName>
    <definedName name="\T">#REF!</definedName>
    <definedName name="\U">#REF!</definedName>
    <definedName name="\w">#REF!</definedName>
    <definedName name="\x">#REF!</definedName>
    <definedName name="\z">#REF!</definedName>
    <definedName name="_">#REF!</definedName>
    <definedName name="__________________ff17">#REF!</definedName>
    <definedName name="_________________ff17">#REF!</definedName>
    <definedName name="________________ff17">#REF!</definedName>
    <definedName name="_______________ff17">#REF!</definedName>
    <definedName name="_____________ff17">#REF!</definedName>
    <definedName name="____________ff17">#REF!</definedName>
    <definedName name="___________ff17">#REF!</definedName>
    <definedName name="__________ff17">#REF!</definedName>
    <definedName name="_________ff17">#REF!</definedName>
    <definedName name="________ff17">#REF!</definedName>
    <definedName name="_______Cat1">#REF!</definedName>
    <definedName name="_______Cat2">#REF!</definedName>
    <definedName name="_______Cat3">#REF!</definedName>
    <definedName name="_______cat4">#REF!</definedName>
    <definedName name="_______Cat5">#REF!</definedName>
    <definedName name="_______cat6">#REF!</definedName>
    <definedName name="_______Cat7">#REF!</definedName>
    <definedName name="_______Cat8">#REF!</definedName>
    <definedName name="_______ff17">#REF!</definedName>
    <definedName name="______Cat1">#REF!</definedName>
    <definedName name="______Cat2">#REF!</definedName>
    <definedName name="______Cat3">#REF!</definedName>
    <definedName name="______cat4">#REF!</definedName>
    <definedName name="______Cat5">#REF!</definedName>
    <definedName name="______cat6">#REF!</definedName>
    <definedName name="______Cat7">#REF!</definedName>
    <definedName name="______Cat8">#REF!</definedName>
    <definedName name="______F">#REF!</definedName>
    <definedName name="______ff17">#REF!</definedName>
    <definedName name="______PU1125">#REF!</definedName>
    <definedName name="_____Cat1">#REF!</definedName>
    <definedName name="_____Cat2">#REF!</definedName>
    <definedName name="_____Cat3">#REF!</definedName>
    <definedName name="_____cat4">#REF!</definedName>
    <definedName name="_____Cat5">#REF!</definedName>
    <definedName name="_____cat6">#REF!</definedName>
    <definedName name="_____Cat7">#REF!</definedName>
    <definedName name="_____Cat8">#REF!</definedName>
    <definedName name="_____F">#REF!</definedName>
    <definedName name="_____ff17">#REF!</definedName>
    <definedName name="_____PU1000">#REF!</definedName>
    <definedName name="_____PU10000">#REF!</definedName>
    <definedName name="_____PU10001">#REF!</definedName>
    <definedName name="_____PU10002">#REF!</definedName>
    <definedName name="_____PU10003">#REF!</definedName>
    <definedName name="_____PU10004">#REF!</definedName>
    <definedName name="_____PU10005">#REF!</definedName>
    <definedName name="_____PU1001">#REF!</definedName>
    <definedName name="_____PU1002">#REF!</definedName>
    <definedName name="_____PU1003">#REF!</definedName>
    <definedName name="_____PU1004">#REF!</definedName>
    <definedName name="_____PU1005">#REF!</definedName>
    <definedName name="_____PU1006">#REF!</definedName>
    <definedName name="_____PU1007">#REF!</definedName>
    <definedName name="_____PU1008">#REF!</definedName>
    <definedName name="_____PU1009">#REF!</definedName>
    <definedName name="_____PU10125">#REF!</definedName>
    <definedName name="_____PU1125">#REF!</definedName>
    <definedName name="_____pu15000">#REF!</definedName>
    <definedName name="_____PU2000">#REF!</definedName>
    <definedName name="_____PU2001">#REF!</definedName>
    <definedName name="_____PU2002">#REF!</definedName>
    <definedName name="_____PU2003">#REF!</definedName>
    <definedName name="_____PU2004">#REF!</definedName>
    <definedName name="_____PU2005">#REF!</definedName>
    <definedName name="_____PU2006">#REF!</definedName>
    <definedName name="_____PU2007">#REF!</definedName>
    <definedName name="_____PU2008">#REF!</definedName>
    <definedName name="_____PU3000">#REF!</definedName>
    <definedName name="_____PU3001">#REF!</definedName>
    <definedName name="_____PU3002">#REF!</definedName>
    <definedName name="_____PU3003">#REF!</definedName>
    <definedName name="_____PU3004">#REF!</definedName>
    <definedName name="_____PU3005">#REF!</definedName>
    <definedName name="_____PU3006">#REF!</definedName>
    <definedName name="_____PU3007">#REF!</definedName>
    <definedName name="_____PU3008">#REF!</definedName>
    <definedName name="_____PU3009">#REF!</definedName>
    <definedName name="_____PU3010">#REF!</definedName>
    <definedName name="_____PU3011">#REF!</definedName>
    <definedName name="_____PU3012">#REF!</definedName>
    <definedName name="_____PU3013">#REF!</definedName>
    <definedName name="_____PU3014">#REF!</definedName>
    <definedName name="_____PU3015">#REF!</definedName>
    <definedName name="_____PU3016">#REF!</definedName>
    <definedName name="_____PU3017">#REF!</definedName>
    <definedName name="_____PU3018">#REF!</definedName>
    <definedName name="_____PU3019">#REF!</definedName>
    <definedName name="_____PU3020">#REF!</definedName>
    <definedName name="_____PU3021">#REF!</definedName>
    <definedName name="_____PU3022">#REF!</definedName>
    <definedName name="_____PU3023">#REF!</definedName>
    <definedName name="_____PU3024">#REF!</definedName>
    <definedName name="_____PU4000">#REF!</definedName>
    <definedName name="_____PU4001">#REF!</definedName>
    <definedName name="_____PU4002">#REF!</definedName>
    <definedName name="_____PU4003">#REF!</definedName>
    <definedName name="_____PU4004">#REF!</definedName>
    <definedName name="_____PU4005">#REF!</definedName>
    <definedName name="_____PU4006">#REF!</definedName>
    <definedName name="_____PU4007">#REF!</definedName>
    <definedName name="_____PU4008">#REF!</definedName>
    <definedName name="_____PU4009">#REF!</definedName>
    <definedName name="_____PU4010">#REF!</definedName>
    <definedName name="_____PU4011">#REF!</definedName>
    <definedName name="_____PU4012">#REF!</definedName>
    <definedName name="_____PU4013">#REF!</definedName>
    <definedName name="_____PU4014">#REF!</definedName>
    <definedName name="_____PU4015">#REF!</definedName>
    <definedName name="_____PU5000">#REF!</definedName>
    <definedName name="_____PU5001">#REF!</definedName>
    <definedName name="_____PU5002">#REF!</definedName>
    <definedName name="_____PU5003">#REF!</definedName>
    <definedName name="_____PU5004">#REF!</definedName>
    <definedName name="_____PU5005">#REF!</definedName>
    <definedName name="_____PU5006">#REF!</definedName>
    <definedName name="_____PU5007">#REF!</definedName>
    <definedName name="_____PU5008">#REF!</definedName>
    <definedName name="_____PU5009">#REF!</definedName>
    <definedName name="_____PU5010">#REF!</definedName>
    <definedName name="_____PU5011">#REF!</definedName>
    <definedName name="_____PU5012">#REF!</definedName>
    <definedName name="_____PU5013">#REF!</definedName>
    <definedName name="_____PU5014">#REF!</definedName>
    <definedName name="_____PU6000">#REF!</definedName>
    <definedName name="_____PU6001">#REF!</definedName>
    <definedName name="_____PU6002">#REF!</definedName>
    <definedName name="_____PU6003">#REF!</definedName>
    <definedName name="_____PU6004">#REF!</definedName>
    <definedName name="_____PU6005">#REF!</definedName>
    <definedName name="_____PU6006">#REF!</definedName>
    <definedName name="_____PU6007">#REF!</definedName>
    <definedName name="_____PU6008">#REF!</definedName>
    <definedName name="_____PU6009">#REF!</definedName>
    <definedName name="_____PU6010">#REF!</definedName>
    <definedName name="_____PU6011">#REF!</definedName>
    <definedName name="_____PU6012">#REF!</definedName>
    <definedName name="_____PU6013">#REF!</definedName>
    <definedName name="_____PU6014">#REF!</definedName>
    <definedName name="_____PU6015">#REF!</definedName>
    <definedName name="_____PU6016">#REF!</definedName>
    <definedName name="_____PU6017">#REF!</definedName>
    <definedName name="_____PU6018">#REF!</definedName>
    <definedName name="_____PU7000">#REF!</definedName>
    <definedName name="_____PU7001">#REF!</definedName>
    <definedName name="_____PU7002">#REF!</definedName>
    <definedName name="_____PU7003">#REF!</definedName>
    <definedName name="_____PU7004">#REF!</definedName>
    <definedName name="_____PU7005">#REF!</definedName>
    <definedName name="_____PU7006">#REF!</definedName>
    <definedName name="_____PU7007">#REF!</definedName>
    <definedName name="_____PU7008">#REF!</definedName>
    <definedName name="_____PU7009">#REF!</definedName>
    <definedName name="_____PU7010">#REF!</definedName>
    <definedName name="_____PU7011">#REF!</definedName>
    <definedName name="_____PU7012">#REF!</definedName>
    <definedName name="_____PU7013">#REF!</definedName>
    <definedName name="_____PU7014">#REF!</definedName>
    <definedName name="_____PU7015">#REF!</definedName>
    <definedName name="_____PU7016">#REF!</definedName>
    <definedName name="_____PU7017">#REF!</definedName>
    <definedName name="_____PU7018">#REF!</definedName>
    <definedName name="_____PU7019">#REF!</definedName>
    <definedName name="_____PU7020">#REF!</definedName>
    <definedName name="_____PU7021">#REF!</definedName>
    <definedName name="_____PU7022">#REF!</definedName>
    <definedName name="_____PU7023">#REF!</definedName>
    <definedName name="_____PU7024">#REF!</definedName>
    <definedName name="_____PU8000">#REF!</definedName>
    <definedName name="_____PU8001">#REF!</definedName>
    <definedName name="_____PU8002">#REF!</definedName>
    <definedName name="_____PU8003">#REF!</definedName>
    <definedName name="_____PU8004">#REF!</definedName>
    <definedName name="_____PU8005">#REF!</definedName>
    <definedName name="_____PU8006">#REF!</definedName>
    <definedName name="_____PU8007">#REF!</definedName>
    <definedName name="_____PU8008">#REF!</definedName>
    <definedName name="_____PU8009">#REF!</definedName>
    <definedName name="_____PU8010">#REF!</definedName>
    <definedName name="_____PU8011">#REF!</definedName>
    <definedName name="_____PU8012">#REF!</definedName>
    <definedName name="_____PU8013">#REF!</definedName>
    <definedName name="_____PU8014">#REF!</definedName>
    <definedName name="_____PU8015">#REF!</definedName>
    <definedName name="_____PU8125">#REF!</definedName>
    <definedName name="_____PU9000">#REF!</definedName>
    <definedName name="_____PU9001">#REF!</definedName>
    <definedName name="_____PU9002">#REF!</definedName>
    <definedName name="_____PU9003">#REF!</definedName>
    <definedName name="_____PU9004">#REF!</definedName>
    <definedName name="_____PU9005">#REF!</definedName>
    <definedName name="_____PU9006">#REF!</definedName>
    <definedName name="_____PU9007">#REF!</definedName>
    <definedName name="_____PU9008">#REF!</definedName>
    <definedName name="_____PU9009">#REF!</definedName>
    <definedName name="_____PU9010">#REF!</definedName>
    <definedName name="_____PU9011">#REF!</definedName>
    <definedName name="_____PU9012">#REF!</definedName>
    <definedName name="_____PU9013">#REF!</definedName>
    <definedName name="_____PU9014">#REF!</definedName>
    <definedName name="_____PU9015">#REF!</definedName>
    <definedName name="_____PU9016">#REF!</definedName>
    <definedName name="_____PU9017">#REF!</definedName>
    <definedName name="_____PU9018">#REF!</definedName>
    <definedName name="_____PU9019">#REF!</definedName>
    <definedName name="_____PU9020">#REF!</definedName>
    <definedName name="_____PU9021">#REF!</definedName>
    <definedName name="_____PU9022">#REF!</definedName>
    <definedName name="_____PU9023">#REF!</definedName>
    <definedName name="_____PU9024">#REF!</definedName>
    <definedName name="_____PU9025">#REF!</definedName>
    <definedName name="_____PU9026">#REF!</definedName>
    <definedName name="_____PU9027">#REF!</definedName>
    <definedName name="_____PU9028">#REF!</definedName>
    <definedName name="_____xlfn.BAHTTEXT" hidden="1">#NAME?</definedName>
    <definedName name="____Cat1">#REF!</definedName>
    <definedName name="____Cat2">#REF!</definedName>
    <definedName name="____Cat3">#REF!</definedName>
    <definedName name="____cat4">#REF!</definedName>
    <definedName name="____Cat5">#REF!</definedName>
    <definedName name="____cat6">#REF!</definedName>
    <definedName name="____Cat7">#REF!</definedName>
    <definedName name="____Cat8">#REF!</definedName>
    <definedName name="____F">#REF!</definedName>
    <definedName name="____ff17">#REF!</definedName>
    <definedName name="____fl1111">#REF!</definedName>
    <definedName name="____JAN02">#REF!</definedName>
    <definedName name="____PU1000">#REF!</definedName>
    <definedName name="____PU10000">#REF!</definedName>
    <definedName name="____PU10001">#REF!</definedName>
    <definedName name="____PU10002">#REF!</definedName>
    <definedName name="____PU10003">#REF!</definedName>
    <definedName name="____PU10004">#REF!</definedName>
    <definedName name="____PU10005">#REF!</definedName>
    <definedName name="____PU1001">#REF!</definedName>
    <definedName name="____PU1002">#REF!</definedName>
    <definedName name="____PU1003">#REF!</definedName>
    <definedName name="____PU1004">#REF!</definedName>
    <definedName name="____PU1005">#REF!</definedName>
    <definedName name="____PU1006">#REF!</definedName>
    <definedName name="____PU1007">#REF!</definedName>
    <definedName name="____PU1008">#REF!</definedName>
    <definedName name="____PU1009">#REF!</definedName>
    <definedName name="____PU10125">#REF!</definedName>
    <definedName name="____pu15000">#REF!</definedName>
    <definedName name="____PU2000">#REF!</definedName>
    <definedName name="____PU2001">#REF!</definedName>
    <definedName name="____PU2002">#REF!</definedName>
    <definedName name="____PU2003">#REF!</definedName>
    <definedName name="____PU2004">#REF!</definedName>
    <definedName name="____PU2005">#REF!</definedName>
    <definedName name="____PU2006">#REF!</definedName>
    <definedName name="____PU2007">#REF!</definedName>
    <definedName name="____PU2008">#REF!</definedName>
    <definedName name="____PU3000">#REF!</definedName>
    <definedName name="____PU3001">#REF!</definedName>
    <definedName name="____PU3002">#REF!</definedName>
    <definedName name="____PU3003">#REF!</definedName>
    <definedName name="____PU3004">#REF!</definedName>
    <definedName name="____PU3005">#REF!</definedName>
    <definedName name="____PU3006">#REF!</definedName>
    <definedName name="____PU3007">#REF!</definedName>
    <definedName name="____PU3008">#REF!</definedName>
    <definedName name="____PU3009">#REF!</definedName>
    <definedName name="____PU3010">#REF!</definedName>
    <definedName name="____PU3011">#REF!</definedName>
    <definedName name="____PU3012">#REF!</definedName>
    <definedName name="____PU3013">#REF!</definedName>
    <definedName name="____PU3014">#REF!</definedName>
    <definedName name="____PU3015">#REF!</definedName>
    <definedName name="____PU3016">#REF!</definedName>
    <definedName name="____PU3017">#REF!</definedName>
    <definedName name="____PU3018">#REF!</definedName>
    <definedName name="____PU3019">#REF!</definedName>
    <definedName name="____PU3020">#REF!</definedName>
    <definedName name="____PU3021">#REF!</definedName>
    <definedName name="____PU3022">#REF!</definedName>
    <definedName name="____PU3023">#REF!</definedName>
    <definedName name="____PU3024">#REF!</definedName>
    <definedName name="____PU4000">#REF!</definedName>
    <definedName name="____PU4001">#REF!</definedName>
    <definedName name="____PU4002">#REF!</definedName>
    <definedName name="____PU4003">#REF!</definedName>
    <definedName name="____PU4004">#REF!</definedName>
    <definedName name="____PU4005">#REF!</definedName>
    <definedName name="____PU4006">#REF!</definedName>
    <definedName name="____PU4007">#REF!</definedName>
    <definedName name="____PU4008">#REF!</definedName>
    <definedName name="____PU4009">#REF!</definedName>
    <definedName name="____PU4010">#REF!</definedName>
    <definedName name="____PU4011">#REF!</definedName>
    <definedName name="____PU4012">#REF!</definedName>
    <definedName name="____PU4013">#REF!</definedName>
    <definedName name="____PU4014">#REF!</definedName>
    <definedName name="____PU4015">#REF!</definedName>
    <definedName name="____PU5000">#REF!</definedName>
    <definedName name="____PU5001">#REF!</definedName>
    <definedName name="____PU5002">#REF!</definedName>
    <definedName name="____PU5003">#REF!</definedName>
    <definedName name="____PU5004">#REF!</definedName>
    <definedName name="____PU5005">#REF!</definedName>
    <definedName name="____PU5006">#REF!</definedName>
    <definedName name="____PU5007">#REF!</definedName>
    <definedName name="____PU5008">#REF!</definedName>
    <definedName name="____PU5009">#REF!</definedName>
    <definedName name="____PU5010">#REF!</definedName>
    <definedName name="____PU5011">#REF!</definedName>
    <definedName name="____PU5012">#REF!</definedName>
    <definedName name="____PU5013">#REF!</definedName>
    <definedName name="____PU5014">#REF!</definedName>
    <definedName name="____PU6000">#REF!</definedName>
    <definedName name="____PU6001">#REF!</definedName>
    <definedName name="____PU6002">#REF!</definedName>
    <definedName name="____PU6003">#REF!</definedName>
    <definedName name="____PU6004">#REF!</definedName>
    <definedName name="____PU6005">#REF!</definedName>
    <definedName name="____PU6006">#REF!</definedName>
    <definedName name="____PU6007">#REF!</definedName>
    <definedName name="____PU6008">#REF!</definedName>
    <definedName name="____PU6009">#REF!</definedName>
    <definedName name="____PU6010">#REF!</definedName>
    <definedName name="____PU6011">#REF!</definedName>
    <definedName name="____PU6012">#REF!</definedName>
    <definedName name="____PU6013">#REF!</definedName>
    <definedName name="____PU6014">#REF!</definedName>
    <definedName name="____PU6015">#REF!</definedName>
    <definedName name="____PU6016">#REF!</definedName>
    <definedName name="____PU6017">#REF!</definedName>
    <definedName name="____PU6018">#REF!</definedName>
    <definedName name="____PU7000">#REF!</definedName>
    <definedName name="____PU7001">#REF!</definedName>
    <definedName name="____PU7002">#REF!</definedName>
    <definedName name="____PU7003">#REF!</definedName>
    <definedName name="____PU7004">#REF!</definedName>
    <definedName name="____PU7005">#REF!</definedName>
    <definedName name="____PU7006">#REF!</definedName>
    <definedName name="____PU7007">#REF!</definedName>
    <definedName name="____PU7008">#REF!</definedName>
    <definedName name="____PU7009">#REF!</definedName>
    <definedName name="____PU7010">#REF!</definedName>
    <definedName name="____PU7011">#REF!</definedName>
    <definedName name="____PU7012">#REF!</definedName>
    <definedName name="____PU7013">#REF!</definedName>
    <definedName name="____PU7014">#REF!</definedName>
    <definedName name="____PU7015">#REF!</definedName>
    <definedName name="____PU7016">#REF!</definedName>
    <definedName name="____PU7017">#REF!</definedName>
    <definedName name="____PU7018">#REF!</definedName>
    <definedName name="____PU7019">#REF!</definedName>
    <definedName name="____PU7020">#REF!</definedName>
    <definedName name="____PU7021">#REF!</definedName>
    <definedName name="____PU7022">#REF!</definedName>
    <definedName name="____PU7023">#REF!</definedName>
    <definedName name="____PU7024">#REF!</definedName>
    <definedName name="____PU8000">#REF!</definedName>
    <definedName name="____PU8001">#REF!</definedName>
    <definedName name="____PU8002">#REF!</definedName>
    <definedName name="____PU8003">#REF!</definedName>
    <definedName name="____PU8004">#REF!</definedName>
    <definedName name="____PU8005">#REF!</definedName>
    <definedName name="____PU8006">#REF!</definedName>
    <definedName name="____PU8007">#REF!</definedName>
    <definedName name="____PU8008">#REF!</definedName>
    <definedName name="____PU8009">#REF!</definedName>
    <definedName name="____PU8010">#REF!</definedName>
    <definedName name="____PU8011">#REF!</definedName>
    <definedName name="____PU8012">#REF!</definedName>
    <definedName name="____PU8013">#REF!</definedName>
    <definedName name="____PU8014">#REF!</definedName>
    <definedName name="____PU8015">#REF!</definedName>
    <definedName name="____PU8125">#REF!</definedName>
    <definedName name="____PU9000">#REF!</definedName>
    <definedName name="____PU9001">#REF!</definedName>
    <definedName name="____PU9002">#REF!</definedName>
    <definedName name="____PU9003">#REF!</definedName>
    <definedName name="____PU9004">#REF!</definedName>
    <definedName name="____PU9005">#REF!</definedName>
    <definedName name="____PU9006">#REF!</definedName>
    <definedName name="____PU9007">#REF!</definedName>
    <definedName name="____PU9008">#REF!</definedName>
    <definedName name="____PU9009">#REF!</definedName>
    <definedName name="____PU9010">#REF!</definedName>
    <definedName name="____PU9011">#REF!</definedName>
    <definedName name="____PU9012">#REF!</definedName>
    <definedName name="____PU9013">#REF!</definedName>
    <definedName name="____PU9014">#REF!</definedName>
    <definedName name="____PU9015">#REF!</definedName>
    <definedName name="____PU9016">#REF!</definedName>
    <definedName name="____PU9017">#REF!</definedName>
    <definedName name="____PU9018">#REF!</definedName>
    <definedName name="____PU9019">#REF!</definedName>
    <definedName name="____PU9020">#REF!</definedName>
    <definedName name="____PU9021">#REF!</definedName>
    <definedName name="____PU9022">#REF!</definedName>
    <definedName name="____PU9023">#REF!</definedName>
    <definedName name="____PU9024">#REF!</definedName>
    <definedName name="____PU9025">#REF!</definedName>
    <definedName name="____PU9026">#REF!</definedName>
    <definedName name="____PU9027">#REF!</definedName>
    <definedName name="____PU9028">#REF!</definedName>
    <definedName name="____x1">#REF!</definedName>
    <definedName name="____xlfn.BAHTTEXT" hidden="1">#NAME?</definedName>
    <definedName name="___a1">#REF!</definedName>
    <definedName name="___a3">#REF!</definedName>
    <definedName name="___a4">#REF!</definedName>
    <definedName name="___a999" hidden="1">{#N/A,#N/A,FALSE,"ANEXO3 99 ERA";#N/A,#N/A,FALSE,"ANEXO3 99 UBÁ2";#N/A,#N/A,FALSE,"ANEXO3 99 DTU";#N/A,#N/A,FALSE,"ANEXO3 99 RDR";#N/A,#N/A,FALSE,"ANEXO3 99 UBÁ4";#N/A,#N/A,FALSE,"ANEXO3 99 UBÁ6"}</definedName>
    <definedName name="___b2" hidden="1">{"PVGraph2",#N/A,FALSE,"PV Data"}</definedName>
    <definedName name="___BAL1" hidden="1">{"pq_dr",#N/A,FALSE,"PQ"}</definedName>
    <definedName name="___Cat1">#REF!</definedName>
    <definedName name="___Cat2">#REF!</definedName>
    <definedName name="___Cat3">#REF!</definedName>
    <definedName name="___cat4">#REF!</definedName>
    <definedName name="___Cat5">#REF!</definedName>
    <definedName name="___cat6">#REF!</definedName>
    <definedName name="___Cat7">#REF!</definedName>
    <definedName name="___Cat8">#REF!</definedName>
    <definedName name="___F">#REF!</definedName>
    <definedName name="___ff17">#REF!</definedName>
    <definedName name="___fl1111">#REF!</definedName>
    <definedName name="___I2" hidden="1">{"PVGraph2",#N/A,FALSE,"PV Data"}</definedName>
    <definedName name="___I22" hidden="1">{"PVGraph2",#N/A,FALSE,"PV Data"}</definedName>
    <definedName name="___I3" hidden="1">{"PVGraph2",#N/A,FALSE,"PV Data"}</definedName>
    <definedName name="___II2" hidden="1">{"PVGraph2",#N/A,FALSE,"PV Data"}</definedName>
    <definedName name="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PU1000">#REF!</definedName>
    <definedName name="___PU10000">#REF!</definedName>
    <definedName name="___PU10001">#REF!</definedName>
    <definedName name="___PU10002">#REF!</definedName>
    <definedName name="___PU10003">#REF!</definedName>
    <definedName name="___PU10004">#REF!</definedName>
    <definedName name="___PU10005">#REF!</definedName>
    <definedName name="___PU1001">#REF!</definedName>
    <definedName name="___PU1002">#REF!</definedName>
    <definedName name="___PU1003">#REF!</definedName>
    <definedName name="___PU1004">#REF!</definedName>
    <definedName name="___PU1005">#REF!</definedName>
    <definedName name="___PU1006">#REF!</definedName>
    <definedName name="___PU1007">#REF!</definedName>
    <definedName name="___PU1008">#REF!</definedName>
    <definedName name="___PU1009">#REF!</definedName>
    <definedName name="___PU10125">#REF!</definedName>
    <definedName name="___PU1125">#REF!</definedName>
    <definedName name="___pu15000">#REF!</definedName>
    <definedName name="___PU2000">#REF!</definedName>
    <definedName name="___PU2001">#REF!</definedName>
    <definedName name="___PU2002">#REF!</definedName>
    <definedName name="___PU2003">#REF!</definedName>
    <definedName name="___PU2004">#REF!</definedName>
    <definedName name="___PU2005">#REF!</definedName>
    <definedName name="___PU2006">#REF!</definedName>
    <definedName name="___PU2007">#REF!</definedName>
    <definedName name="___PU2008">#REF!</definedName>
    <definedName name="___PU3000">#REF!</definedName>
    <definedName name="___PU3001">#REF!</definedName>
    <definedName name="___PU3002">#REF!</definedName>
    <definedName name="___PU3003">#REF!</definedName>
    <definedName name="___PU3004">#REF!</definedName>
    <definedName name="___PU3005">#REF!</definedName>
    <definedName name="___PU3006">#REF!</definedName>
    <definedName name="___PU3007">#REF!</definedName>
    <definedName name="___PU3008">#REF!</definedName>
    <definedName name="___PU3009">#REF!</definedName>
    <definedName name="___PU3010">#REF!</definedName>
    <definedName name="___PU3011">#REF!</definedName>
    <definedName name="___PU3012">#REF!</definedName>
    <definedName name="___PU3013">#REF!</definedName>
    <definedName name="___PU3014">#REF!</definedName>
    <definedName name="___PU3015">#REF!</definedName>
    <definedName name="___PU3016">#REF!</definedName>
    <definedName name="___PU3017">#REF!</definedName>
    <definedName name="___PU3018">#REF!</definedName>
    <definedName name="___PU3019">#REF!</definedName>
    <definedName name="___PU3020">#REF!</definedName>
    <definedName name="___PU3021">#REF!</definedName>
    <definedName name="___PU3022">#REF!</definedName>
    <definedName name="___PU3023">#REF!</definedName>
    <definedName name="___PU3024">#REF!</definedName>
    <definedName name="___PU4000">#REF!</definedName>
    <definedName name="___PU4001">#REF!</definedName>
    <definedName name="___PU4002">#REF!</definedName>
    <definedName name="___PU4003">#REF!</definedName>
    <definedName name="___PU4004">#REF!</definedName>
    <definedName name="___PU4005">#REF!</definedName>
    <definedName name="___PU4006">#REF!</definedName>
    <definedName name="___PU4007">#REF!</definedName>
    <definedName name="___PU4008">#REF!</definedName>
    <definedName name="___PU4009">#REF!</definedName>
    <definedName name="___PU4010">#REF!</definedName>
    <definedName name="___PU4011">#REF!</definedName>
    <definedName name="___PU4012">#REF!</definedName>
    <definedName name="___PU4013">#REF!</definedName>
    <definedName name="___PU4014">#REF!</definedName>
    <definedName name="___PU4015">#REF!</definedName>
    <definedName name="___PU5000">#REF!</definedName>
    <definedName name="___PU5001">#REF!</definedName>
    <definedName name="___PU5002">#REF!</definedName>
    <definedName name="___PU5003">#REF!</definedName>
    <definedName name="___PU5004">#REF!</definedName>
    <definedName name="___PU5005">#REF!</definedName>
    <definedName name="___PU5006">#REF!</definedName>
    <definedName name="___PU5007">#REF!</definedName>
    <definedName name="___PU5008">#REF!</definedName>
    <definedName name="___PU5009">#REF!</definedName>
    <definedName name="___PU5010">#REF!</definedName>
    <definedName name="___PU5011">#REF!</definedName>
    <definedName name="___PU5012">#REF!</definedName>
    <definedName name="___PU5013">#REF!</definedName>
    <definedName name="___PU5014">#REF!</definedName>
    <definedName name="___PU6000">#REF!</definedName>
    <definedName name="___PU6001">#REF!</definedName>
    <definedName name="___PU6002">#REF!</definedName>
    <definedName name="___PU6003">#REF!</definedName>
    <definedName name="___PU6004">#REF!</definedName>
    <definedName name="___PU6005">#REF!</definedName>
    <definedName name="___PU6006">#REF!</definedName>
    <definedName name="___PU6007">#REF!</definedName>
    <definedName name="___PU6008">#REF!</definedName>
    <definedName name="___PU6009">#REF!</definedName>
    <definedName name="___PU6010">#REF!</definedName>
    <definedName name="___PU6011">#REF!</definedName>
    <definedName name="___PU6012">#REF!</definedName>
    <definedName name="___PU6013">#REF!</definedName>
    <definedName name="___PU6014">#REF!</definedName>
    <definedName name="___PU6015">#REF!</definedName>
    <definedName name="___PU6016">#REF!</definedName>
    <definedName name="___PU6017">#REF!</definedName>
    <definedName name="___PU6018">#REF!</definedName>
    <definedName name="___PU7000">#REF!</definedName>
    <definedName name="___PU7001">#REF!</definedName>
    <definedName name="___PU7002">#REF!</definedName>
    <definedName name="___PU7003">#REF!</definedName>
    <definedName name="___PU7004">#REF!</definedName>
    <definedName name="___PU7005">#REF!</definedName>
    <definedName name="___PU7006">#REF!</definedName>
    <definedName name="___PU7007">#REF!</definedName>
    <definedName name="___PU7008">#REF!</definedName>
    <definedName name="___PU7009">#REF!</definedName>
    <definedName name="___PU7010">#REF!</definedName>
    <definedName name="___PU7011">#REF!</definedName>
    <definedName name="___PU7012">#REF!</definedName>
    <definedName name="___PU7013">#REF!</definedName>
    <definedName name="___PU7014">#REF!</definedName>
    <definedName name="___PU7015">#REF!</definedName>
    <definedName name="___PU7016">#REF!</definedName>
    <definedName name="___PU7017">#REF!</definedName>
    <definedName name="___PU7018">#REF!</definedName>
    <definedName name="___PU7019">#REF!</definedName>
    <definedName name="___PU7020">#REF!</definedName>
    <definedName name="___PU7021">#REF!</definedName>
    <definedName name="___PU7022">#REF!</definedName>
    <definedName name="___PU7023">#REF!</definedName>
    <definedName name="___PU7024">#REF!</definedName>
    <definedName name="___PU8000">#REF!</definedName>
    <definedName name="___PU8001">#REF!</definedName>
    <definedName name="___PU8002">#REF!</definedName>
    <definedName name="___PU8003">#REF!</definedName>
    <definedName name="___PU8004">#REF!</definedName>
    <definedName name="___PU8005">#REF!</definedName>
    <definedName name="___PU8006">#REF!</definedName>
    <definedName name="___PU8007">#REF!</definedName>
    <definedName name="___PU8008">#REF!</definedName>
    <definedName name="___PU8009">#REF!</definedName>
    <definedName name="___PU8010">#REF!</definedName>
    <definedName name="___PU8011">#REF!</definedName>
    <definedName name="___PU8012">#REF!</definedName>
    <definedName name="___PU8013">#REF!</definedName>
    <definedName name="___PU8014">#REF!</definedName>
    <definedName name="___PU8015">#REF!</definedName>
    <definedName name="___PU8125">#REF!</definedName>
    <definedName name="___PU9000">#REF!</definedName>
    <definedName name="___PU9001">#REF!</definedName>
    <definedName name="___PU9002">#REF!</definedName>
    <definedName name="___PU9003">#REF!</definedName>
    <definedName name="___PU9004">#REF!</definedName>
    <definedName name="___PU9005">#REF!</definedName>
    <definedName name="___PU9006">#REF!</definedName>
    <definedName name="___PU9007">#REF!</definedName>
    <definedName name="___PU9008">#REF!</definedName>
    <definedName name="___PU9009">#REF!</definedName>
    <definedName name="___PU9010">#REF!</definedName>
    <definedName name="___PU9011">#REF!</definedName>
    <definedName name="___PU9012">#REF!</definedName>
    <definedName name="___PU9013">#REF!</definedName>
    <definedName name="___PU9014">#REF!</definedName>
    <definedName name="___PU9015">#REF!</definedName>
    <definedName name="___PU9016">#REF!</definedName>
    <definedName name="___PU9017">#REF!</definedName>
    <definedName name="___PU9018">#REF!</definedName>
    <definedName name="___PU9019">#REF!</definedName>
    <definedName name="___PU9020">#REF!</definedName>
    <definedName name="___PU9021">#REF!</definedName>
    <definedName name="___PU9022">#REF!</definedName>
    <definedName name="___PU9023">#REF!</definedName>
    <definedName name="___PU9024">#REF!</definedName>
    <definedName name="___PU9025">#REF!</definedName>
    <definedName name="___PU9026">#REF!</definedName>
    <definedName name="___PU9027">#REF!</definedName>
    <definedName name="___PU9028">#REF!</definedName>
    <definedName name="___V1">#REF!</definedName>
    <definedName name="___V10">#REF!</definedName>
    <definedName name="___V11">#REF!</definedName>
    <definedName name="___V12">#REF!</definedName>
    <definedName name="___V13">#REF!</definedName>
    <definedName name="___V14">#REF!</definedName>
    <definedName name="___V15">#REF!</definedName>
    <definedName name="___V3">#REF!</definedName>
    <definedName name="___V4">#REF!</definedName>
    <definedName name="___V5">#REF!</definedName>
    <definedName name="___V6">#REF!</definedName>
    <definedName name="___V7">#REF!</definedName>
    <definedName name="___V8">#REF!</definedName>
    <definedName name="___V9">#REF!</definedName>
    <definedName name="___vhc1">#REF!</definedName>
    <definedName name="___w1" hidden="1">{"PVGraph2",#N/A,FALSE,"PV Data"}</definedName>
    <definedName name="___w12" hidden="1">{"PVGraph2",#N/A,FALSE,"PV Data"}</definedName>
    <definedName name="___w2" hidden="1">{"PVGraph2",#N/A,FALSE,"PV Data"}</definedName>
    <definedName name="___w3" hidden="1">{"PVGraph2",#N/A,FALSE,"PV Data"}</definedName>
    <definedName name="___w9" hidden="1">{"PVGraph2",#N/A,FALSE,"PV Data"}</definedName>
    <definedName name="___x2" hidden="1">{"PVGraph2",#N/A,FALSE,"PV Data"}</definedName>
    <definedName name="___xlfn.BAHTTEXT" hidden="1">#NAME?</definedName>
    <definedName name="___y2" hidden="1">{"PVGraph2",#N/A,FALSE,"PV Data"}</definedName>
    <definedName name="___y22" hidden="1">{"PVGraph2",#N/A,FALSE,"PV Data"}</definedName>
    <definedName name="__123Graph_A" hidden="1">#REF!</definedName>
    <definedName name="__123Graph_AENDIVIDA">#REF!</definedName>
    <definedName name="__123Graph_AMERC">#REF!</definedName>
    <definedName name="__123Graph_APER">#REF!</definedName>
    <definedName name="__123Graph_APERKORT">#REF!</definedName>
    <definedName name="__123Graph_APERLANG">#REF!</definedName>
    <definedName name="__123Graph_APREVRCOM" hidden="1">#REF!</definedName>
    <definedName name="__123Graph_APREVREALI" hidden="1">#REF!</definedName>
    <definedName name="__123Graph_APREVRIND" hidden="1">#REF!</definedName>
    <definedName name="__123Graph_APREVRRES" hidden="1">#REF!</definedName>
    <definedName name="__123Graph_APREVRTOT" hidden="1">#REF!</definedName>
    <definedName name="__123Graph_AR1995">#REF!</definedName>
    <definedName name="__123Graph_ARENTEDIFF">#REF!</definedName>
    <definedName name="__123Graph_ARES1">#REF!</definedName>
    <definedName name="__123Graph_ARES3">#REF!</definedName>
    <definedName name="__123Graph_ARESFIN">#REF!</definedName>
    <definedName name="__123Graph_ARESULTAAT">#REF!</definedName>
    <definedName name="__123Graph_ASIDECO">#REF!</definedName>
    <definedName name="__123Graph_B" hidden="1">#REF!</definedName>
    <definedName name="__123Graph_BCOMPARA" hidden="1">#REF!</definedName>
    <definedName name="__123Graph_BENDIVIDA">#REF!</definedName>
    <definedName name="__123Graph_BMERC">#REF!</definedName>
    <definedName name="__123Graph_BPREVREALI" hidden="1">#REF!</definedName>
    <definedName name="__123Graph_BR1995">#REF!</definedName>
    <definedName name="__123Graph_BRES1">#REF!</definedName>
    <definedName name="__123Graph_BRES2">#REF!</definedName>
    <definedName name="__123Graph_BRES3">#REF!</definedName>
    <definedName name="__123Graph_BRESFIN">#REF!</definedName>
    <definedName name="__123Graph_BRESULTAAT">#REF!</definedName>
    <definedName name="__123Graph_BSIDECO">#REF!</definedName>
    <definedName name="__123Graph_C" hidden="1">#REF!</definedName>
    <definedName name="__123Graph_CENDIVIDA">#REF!</definedName>
    <definedName name="__123Graph_CMERC">#REF!</definedName>
    <definedName name="__123Graph_CPREVREALI" hidden="1">#REF!</definedName>
    <definedName name="__123Graph_CR1995">#REF!</definedName>
    <definedName name="__123Graph_CRES1">#REF!</definedName>
    <definedName name="__123Graph_CRES2">#REF!</definedName>
    <definedName name="__123Graph_CRES3">#REF!</definedName>
    <definedName name="__123Graph_CRESFIN">#REF!</definedName>
    <definedName name="__123Graph_CRESULTAAT">#REF!</definedName>
    <definedName name="__123Graph_CSIDECO">#REF!</definedName>
    <definedName name="__123Graph_D" hidden="1">#REF!</definedName>
    <definedName name="__123Graph_DCOMPARA" hidden="1">#REF!</definedName>
    <definedName name="__123Graph_DENDIVIDA">#REF!</definedName>
    <definedName name="__123Graph_DPER">#REF!</definedName>
    <definedName name="__123Graph_DPERKORT">#REF!</definedName>
    <definedName name="__123Graph_DPERLANG">#REF!</definedName>
    <definedName name="__123Graph_DR1995">#REF!</definedName>
    <definedName name="__123Graph_DRES1">#REF!</definedName>
    <definedName name="__123Graph_DRES2">#REF!</definedName>
    <definedName name="__123Graph_DRES3">#REF!</definedName>
    <definedName name="__123Graph_DRESULTAAT">#REF!</definedName>
    <definedName name="__123Graph_E" hidden="1">#REF!</definedName>
    <definedName name="__123Graph_EENDIVIDA">#REF!</definedName>
    <definedName name="__123Graph_EPER">#REF!</definedName>
    <definedName name="__123Graph_EPERKORT">#REF!</definedName>
    <definedName name="__123Graph_EPERLANG">#REF!</definedName>
    <definedName name="__123Graph_EPREVREALI" hidden="1">#REF!</definedName>
    <definedName name="__123Graph_ERES2">#REF!</definedName>
    <definedName name="__123Graph_ERES3">#REF!</definedName>
    <definedName name="__123Graph_ERESULTAAT">#REF!</definedName>
    <definedName name="__123Graph_F" hidden="1">#REF!</definedName>
    <definedName name="__123Graph_FCOMPARA" hidden="1">#REF!</definedName>
    <definedName name="__123Graph_FENDIVIDA">#REF!</definedName>
    <definedName name="__123Graph_FRES2">#REF!</definedName>
    <definedName name="__123Graph_X" hidden="1">#REF!</definedName>
    <definedName name="__123Graph_XENDIVIDA">#REF!</definedName>
    <definedName name="__123Graph_XMERC">#REF!</definedName>
    <definedName name="__123Graph_XPER">#REF!</definedName>
    <definedName name="__123Graph_XPERKORT">#REF!</definedName>
    <definedName name="__123Graph_XPERLANG">#REF!</definedName>
    <definedName name="__123Graph_XR1995">#REF!</definedName>
    <definedName name="__123Graph_XRENTEDIFF">#REF!</definedName>
    <definedName name="__123Graph_XRES1">#REF!</definedName>
    <definedName name="__123Graph_XRES2">#REF!</definedName>
    <definedName name="__123Graph_XRES3">#REF!</definedName>
    <definedName name="__123Graph_XRESULTAAT">#REF!</definedName>
    <definedName name="__123Graph_XSIDECO">#REF!</definedName>
    <definedName name="__123Graph_XUSS">#REF!</definedName>
    <definedName name="__a999" hidden="1">{#N/A,#N/A,FALSE,"ANEXO3 99 ERA";#N/A,#N/A,FALSE,"ANEXO3 99 UBÁ2";#N/A,#N/A,FALSE,"ANEXO3 99 DTU";#N/A,#N/A,FALSE,"ANEXO3 99 RDR";#N/A,#N/A,FALSE,"ANEXO3 99 UBÁ4";#N/A,#N/A,FALSE,"ANEXO3 99 UBÁ6"}</definedName>
    <definedName name="__ask1" hidden="1">#REF!</definedName>
    <definedName name="__b2" hidden="1">{"PVGraph2",#N/A,FALSE,"PV Data"}</definedName>
    <definedName name="__BAL1" hidden="1">{"pq_dr",#N/A,FALSE,"PQ"}</definedName>
    <definedName name="__Cat1">#REF!</definedName>
    <definedName name="__Cat2">#REF!</definedName>
    <definedName name="__Cat3">#REF!</definedName>
    <definedName name="__cat4">#REF!</definedName>
    <definedName name="__Cat5">#REF!</definedName>
    <definedName name="__cat6">#REF!</definedName>
    <definedName name="__Cat7">#REF!</definedName>
    <definedName name="__Cat8">#REF!</definedName>
    <definedName name="__F">#REF!</definedName>
    <definedName name="__fas123">#REF!</definedName>
    <definedName name="__FDS_HYPERLINK_TOGGLE_STATE__" hidden="1">"ON"</definedName>
    <definedName name="__ff17">#REF!</definedName>
    <definedName name="__fl1111">#REF!</definedName>
    <definedName name="__I2" hidden="1">{"PVGraph2",#N/A,FALSE,"PV Data"}</definedName>
    <definedName name="__I22" hidden="1">{"PVGraph2",#N/A,FALSE,"PV Data"}</definedName>
    <definedName name="__I3" hidden="1">{"PVGraph2",#N/A,FALSE,"PV Data"}</definedName>
    <definedName name="__II2" hidden="1">{"PVGraph2",#N/A,FALSE,"PV Data"}</definedName>
    <definedName name="__JAN02">#REF!</definedName>
    <definedName name="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PU1000">#REF!</definedName>
    <definedName name="__PU10000">#REF!</definedName>
    <definedName name="__PU10001">#REF!</definedName>
    <definedName name="__PU10002">#REF!</definedName>
    <definedName name="__PU10003">#REF!</definedName>
    <definedName name="__PU10004">#REF!</definedName>
    <definedName name="__PU10005">#REF!</definedName>
    <definedName name="__PU1001">#REF!</definedName>
    <definedName name="__PU1002">#REF!</definedName>
    <definedName name="__PU1003">#REF!</definedName>
    <definedName name="__PU1004">#REF!</definedName>
    <definedName name="__PU1005">#REF!</definedName>
    <definedName name="__PU1006">#REF!</definedName>
    <definedName name="__PU1007">#REF!</definedName>
    <definedName name="__PU1008">#REF!</definedName>
    <definedName name="__PU1009">#REF!</definedName>
    <definedName name="__PU10125">#REF!</definedName>
    <definedName name="__PU1125">#REF!</definedName>
    <definedName name="__pu15000">#REF!</definedName>
    <definedName name="__PU2000">#REF!</definedName>
    <definedName name="__PU2001">#REF!</definedName>
    <definedName name="__PU2002">#REF!</definedName>
    <definedName name="__PU2003">#REF!</definedName>
    <definedName name="__PU2004">#REF!</definedName>
    <definedName name="__PU2005">#REF!</definedName>
    <definedName name="__PU2006">#REF!</definedName>
    <definedName name="__PU2007">#REF!</definedName>
    <definedName name="__PU2008">#REF!</definedName>
    <definedName name="__PU3000">#REF!</definedName>
    <definedName name="__PU3001">#REF!</definedName>
    <definedName name="__PU3002">#REF!</definedName>
    <definedName name="__PU3003">#REF!</definedName>
    <definedName name="__PU3004">#REF!</definedName>
    <definedName name="__PU3005">#REF!</definedName>
    <definedName name="__PU3006">#REF!</definedName>
    <definedName name="__PU3007">#REF!</definedName>
    <definedName name="__PU3008">#REF!</definedName>
    <definedName name="__PU3009">#REF!</definedName>
    <definedName name="__PU3010">#REF!</definedName>
    <definedName name="__PU3011">#REF!</definedName>
    <definedName name="__PU3012">#REF!</definedName>
    <definedName name="__PU3013">#REF!</definedName>
    <definedName name="__PU3014">#REF!</definedName>
    <definedName name="__PU3015">#REF!</definedName>
    <definedName name="__PU3016">#REF!</definedName>
    <definedName name="__PU3017">#REF!</definedName>
    <definedName name="__PU3018">#REF!</definedName>
    <definedName name="__PU3019">#REF!</definedName>
    <definedName name="__PU3020">#REF!</definedName>
    <definedName name="__PU3021">#REF!</definedName>
    <definedName name="__PU3022">#REF!</definedName>
    <definedName name="__PU3023">#REF!</definedName>
    <definedName name="__PU3024">#REF!</definedName>
    <definedName name="__PU4000">#REF!</definedName>
    <definedName name="__PU4001">#REF!</definedName>
    <definedName name="__PU4002">#REF!</definedName>
    <definedName name="__PU4003">#REF!</definedName>
    <definedName name="__PU4004">#REF!</definedName>
    <definedName name="__PU4005">#REF!</definedName>
    <definedName name="__PU4006">#REF!</definedName>
    <definedName name="__PU4007">#REF!</definedName>
    <definedName name="__PU4008">#REF!</definedName>
    <definedName name="__PU4009">#REF!</definedName>
    <definedName name="__PU4010">#REF!</definedName>
    <definedName name="__PU4011">#REF!</definedName>
    <definedName name="__PU4012">#REF!</definedName>
    <definedName name="__PU4013">#REF!</definedName>
    <definedName name="__PU4014">#REF!</definedName>
    <definedName name="__PU4015">#REF!</definedName>
    <definedName name="__PU5000">#REF!</definedName>
    <definedName name="__PU5001">#REF!</definedName>
    <definedName name="__PU5002">#REF!</definedName>
    <definedName name="__PU5003">#REF!</definedName>
    <definedName name="__PU5004">#REF!</definedName>
    <definedName name="__PU5005">#REF!</definedName>
    <definedName name="__PU5006">#REF!</definedName>
    <definedName name="__PU5007">#REF!</definedName>
    <definedName name="__PU5008">#REF!</definedName>
    <definedName name="__PU5009">#REF!</definedName>
    <definedName name="__PU5010">#REF!</definedName>
    <definedName name="__PU5011">#REF!</definedName>
    <definedName name="__PU5012">#REF!</definedName>
    <definedName name="__PU5013">#REF!</definedName>
    <definedName name="__PU5014">#REF!</definedName>
    <definedName name="__PU6000">#REF!</definedName>
    <definedName name="__PU6001">#REF!</definedName>
    <definedName name="__PU6002">#REF!</definedName>
    <definedName name="__PU6003">#REF!</definedName>
    <definedName name="__PU6004">#REF!</definedName>
    <definedName name="__PU6005">#REF!</definedName>
    <definedName name="__PU6006">#REF!</definedName>
    <definedName name="__PU6007">#REF!</definedName>
    <definedName name="__PU6008">#REF!</definedName>
    <definedName name="__PU6009">#REF!</definedName>
    <definedName name="__PU6010">#REF!</definedName>
    <definedName name="__PU6011">#REF!</definedName>
    <definedName name="__PU6012">#REF!</definedName>
    <definedName name="__PU6013">#REF!</definedName>
    <definedName name="__PU6014">#REF!</definedName>
    <definedName name="__PU6015">#REF!</definedName>
    <definedName name="__PU6016">#REF!</definedName>
    <definedName name="__PU6017">#REF!</definedName>
    <definedName name="__PU6018">#REF!</definedName>
    <definedName name="__PU7000">#REF!</definedName>
    <definedName name="__PU7001">#REF!</definedName>
    <definedName name="__PU7002">#REF!</definedName>
    <definedName name="__PU7003">#REF!</definedName>
    <definedName name="__PU7004">#REF!</definedName>
    <definedName name="__PU7005">#REF!</definedName>
    <definedName name="__PU7006">#REF!</definedName>
    <definedName name="__PU7007">#REF!</definedName>
    <definedName name="__PU7008">#REF!</definedName>
    <definedName name="__PU7009">#REF!</definedName>
    <definedName name="__PU7010">#REF!</definedName>
    <definedName name="__PU7011">#REF!</definedName>
    <definedName name="__PU7012">#REF!</definedName>
    <definedName name="__PU7013">#REF!</definedName>
    <definedName name="__PU7014">#REF!</definedName>
    <definedName name="__PU7015">#REF!</definedName>
    <definedName name="__PU7016">#REF!</definedName>
    <definedName name="__PU7017">#REF!</definedName>
    <definedName name="__PU7018">#REF!</definedName>
    <definedName name="__PU7019">#REF!</definedName>
    <definedName name="__PU7020">#REF!</definedName>
    <definedName name="__PU7021">#REF!</definedName>
    <definedName name="__PU7022">#REF!</definedName>
    <definedName name="__PU7023">#REF!</definedName>
    <definedName name="__PU7024">#REF!</definedName>
    <definedName name="__PU8000">#REF!</definedName>
    <definedName name="__PU8001">#REF!</definedName>
    <definedName name="__PU8002">#REF!</definedName>
    <definedName name="__PU8003">#REF!</definedName>
    <definedName name="__PU8004">#REF!</definedName>
    <definedName name="__PU8005">#REF!</definedName>
    <definedName name="__PU8006">#REF!</definedName>
    <definedName name="__PU8007">#REF!</definedName>
    <definedName name="__PU8008">#REF!</definedName>
    <definedName name="__PU8009">#REF!</definedName>
    <definedName name="__PU8010">#REF!</definedName>
    <definedName name="__PU8011">#REF!</definedName>
    <definedName name="__PU8012">#REF!</definedName>
    <definedName name="__PU8013">#REF!</definedName>
    <definedName name="__PU8014">#REF!</definedName>
    <definedName name="__PU8015">#REF!</definedName>
    <definedName name="__PU8125">#REF!</definedName>
    <definedName name="__PU9000">#REF!</definedName>
    <definedName name="__PU9001">#REF!</definedName>
    <definedName name="__PU9002">#REF!</definedName>
    <definedName name="__PU9003">#REF!</definedName>
    <definedName name="__PU9004">#REF!</definedName>
    <definedName name="__PU9005">#REF!</definedName>
    <definedName name="__PU9006">#REF!</definedName>
    <definedName name="__PU9007">#REF!</definedName>
    <definedName name="__PU9008">#REF!</definedName>
    <definedName name="__PU9009">#REF!</definedName>
    <definedName name="__PU9010">#REF!</definedName>
    <definedName name="__PU9011">#REF!</definedName>
    <definedName name="__PU9012">#REF!</definedName>
    <definedName name="__PU9013">#REF!</definedName>
    <definedName name="__PU9014">#REF!</definedName>
    <definedName name="__PU9015">#REF!</definedName>
    <definedName name="__PU9016">#REF!</definedName>
    <definedName name="__PU9017">#REF!</definedName>
    <definedName name="__PU9018">#REF!</definedName>
    <definedName name="__PU9019">#REF!</definedName>
    <definedName name="__PU9020">#REF!</definedName>
    <definedName name="__PU9021">#REF!</definedName>
    <definedName name="__PU9022">#REF!</definedName>
    <definedName name="__PU9023">#REF!</definedName>
    <definedName name="__PU9024">#REF!</definedName>
    <definedName name="__PU9025">#REF!</definedName>
    <definedName name="__PU9026">#REF!</definedName>
    <definedName name="__PU9027">#REF!</definedName>
    <definedName name="__PU9028">#REF!</definedName>
    <definedName name="__w1" hidden="1">{"PVGraph2",#N/A,FALSE,"PV Data"}</definedName>
    <definedName name="__w12" hidden="1">{"PVGraph2",#N/A,FALSE,"PV Data"}</definedName>
    <definedName name="__w2" hidden="1">{"PVGraph2",#N/A,FALSE,"PV Data"}</definedName>
    <definedName name="__w3" hidden="1">{"PVGraph2",#N/A,FALSE,"PV Data"}</definedName>
    <definedName name="__w9" hidden="1">{"PVGraph2",#N/A,FALSE,"PV Data"}</definedName>
    <definedName name="__x1">#REF!</definedName>
    <definedName name="__x2" hidden="1">{"PVGraph2",#N/A,FALSE,"PV Data"}</definedName>
    <definedName name="__xlfn.BAHTTEXT" hidden="1">#NAME?</definedName>
    <definedName name="__xlfn.IFERROR" hidden="1">#NAME?</definedName>
    <definedName name="__y2" hidden="1">{"PVGraph2",#N/A,FALSE,"PV Data"}</definedName>
    <definedName name="__y22" hidden="1">{"PVGraph2",#N/A,FALSE,"PV Data"}</definedName>
    <definedName name="_016___RAZÃO">#REF!</definedName>
    <definedName name="_1E____ဠ0__큌〈Ř">#REF!</definedName>
    <definedName name="_28_36">#REF!</definedName>
    <definedName name="_A1">#REF!</definedName>
    <definedName name="_A2">#REF!</definedName>
    <definedName name="_A3">#REF!</definedName>
    <definedName name="_A4">#REF!</definedName>
    <definedName name="_a999" hidden="1">{#N/A,#N/A,FALSE,"ANEXO3 99 ERA";#N/A,#N/A,FALSE,"ANEXO3 99 UBÁ2";#N/A,#N/A,FALSE,"ANEXO3 99 DTU";#N/A,#N/A,FALSE,"ANEXO3 99 RDR";#N/A,#N/A,FALSE,"ANEXO3 99 UBÁ4";#N/A,#N/A,FALSE,"ANEXO3 99 UBÁ6"}</definedName>
    <definedName name="_ask1" hidden="1">#REF!</definedName>
    <definedName name="_AUC14bea23f398d402f9fec28677c7575b1" hidden="1">#REF!</definedName>
    <definedName name="_AUC19006f3d21d0476a9d0b40d14d11aa84" hidden="1">#REF!</definedName>
    <definedName name="_AUC1ade48618c734751afcb5287f7404ac1" hidden="1">#REF!</definedName>
    <definedName name="_AUC211aaefc79fb41d3b8a07db4222282f9" hidden="1">#REF!</definedName>
    <definedName name="_AUC49fe27293844461282fab00fd64f4d40" hidden="1">#REF!</definedName>
    <definedName name="_AUC63bd32a7c9f940e091c2da5a20c4011e" hidden="1">#REF!</definedName>
    <definedName name="_AUC8749c8c252e949bb94a745450c54d04a" hidden="1">#REF!</definedName>
    <definedName name="_AUCb2683aba45c54442a305e8330849767d" hidden="1">#REF!</definedName>
    <definedName name="_AUCc1f596b2e4e049fc967b12bbfed20816" hidden="1">#REF!</definedName>
    <definedName name="_AUCc45394643f2d43cd9261d66712b9a1a0" hidden="1">#REF!</definedName>
    <definedName name="_AUCda95bad85d1c46e6945e9dc55c67f986" hidden="1">#REF!</definedName>
    <definedName name="_AUCe04ab7be14bc4e3f920148e186caa7f1" hidden="1">#REF!</definedName>
    <definedName name="_b2" hidden="1">{"PVGraph2",#N/A,FALSE,"PV Data"}</definedName>
    <definedName name="_BA17">#REF!</definedName>
    <definedName name="_BAL1" hidden="1">{"pq_dr",#N/A,FALSE,"PQ"}</definedName>
    <definedName name="_bdm.861AF31121C74C0B9AEF83C8AB3BB91C.edm">#REF!</definedName>
    <definedName name="_bdm.91A4EE26DF9A4178B6136735ACF67D2F.edm">#REF!</definedName>
    <definedName name="_bdm.B53DB447370A4BBE95B1CA8145D1BC90.edm">#REF!</definedName>
    <definedName name="_Cat1">#REF!</definedName>
    <definedName name="_Cat2">#REF!</definedName>
    <definedName name="_Cat3">#REF!</definedName>
    <definedName name="_cat4">#REF!</definedName>
    <definedName name="_Cat5">#REF!</definedName>
    <definedName name="_cat6">#REF!</definedName>
    <definedName name="_Cat7">#REF!</definedName>
    <definedName name="_Cat8">#REF!</definedName>
    <definedName name="_COD01">#REF!</definedName>
    <definedName name="_DAD01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ist_Bin">#REF!</definedName>
    <definedName name="_Dist_Values">#REF!</definedName>
    <definedName name="_DLX1.USE">#REF!</definedName>
    <definedName name="_DLX2.USE">#REF!</definedName>
    <definedName name="_DLX3.USE">#REF!</definedName>
    <definedName name="_DLX4.USE">#REF!</definedName>
    <definedName name="_F">#REF!</definedName>
    <definedName name="_fas123">#REF!</definedName>
    <definedName name="_ff17">#REF!</definedName>
    <definedName name="_Fill" hidden="1">#REF!</definedName>
    <definedName name="_FILL2">#REF!</definedName>
    <definedName name="_xlnm._FilterDatabase" hidden="1">#REF!</definedName>
    <definedName name="_fl1111">#REF!</definedName>
    <definedName name="_I2" hidden="1">{"PVGraph2",#N/A,FALSE,"PV Data"}</definedName>
    <definedName name="_I22" hidden="1">{"PVGraph2",#N/A,FALSE,"PV Data"}</definedName>
    <definedName name="_I3" hidden="1">{"PVGraph2",#N/A,FALSE,"PV Data"}</definedName>
    <definedName name="_I8888">#REF!</definedName>
    <definedName name="_II2" hidden="1">{"PVGraph2",#N/A,FALSE,"PV Data"}</definedName>
    <definedName name="_JAN02">#REF!</definedName>
    <definedName name="_Key1" hidden="1">#REF!</definedName>
    <definedName name="_Key2" hidden="1">#REF!</definedName>
    <definedName name="_LPR1">#REF!</definedName>
    <definedName name="_LPR2">#REF!</definedName>
    <definedName name="_LPR3">#REF!</definedName>
    <definedName name="_LT05">#REF!</definedName>
    <definedName name="_modfin2014">#REF!</definedName>
    <definedName name="_msoanchor_1">#REF!</definedName>
    <definedName name="_Order1" hidden="1">255</definedName>
    <definedName name="_Order2" hidden="1">255</definedName>
    <definedName name="_Parse_In">#REF!</definedName>
    <definedName name="_Parse_Out">#REF!</definedName>
    <definedName name="_PL10">#REF!</definedName>
    <definedName name="_PL12">#REF!</definedName>
    <definedName name="_PL14">#REF!</definedName>
    <definedName name="_PL18">#REF!</definedName>
    <definedName name="_PL22">#REF!</definedName>
    <definedName name="_PL23">#REF!</definedName>
    <definedName name="_PL24">#REF!</definedName>
    <definedName name="_PL3">#REF!</definedName>
    <definedName name="_PL31">#REF!</definedName>
    <definedName name="_PL40">#REF!</definedName>
    <definedName name="_PL41">#REF!</definedName>
    <definedName name="_PL42">#REF!</definedName>
    <definedName name="_PL52">#REF!</definedName>
    <definedName name="_PL54">#REF!</definedName>
    <definedName name="_PL55">#REF!</definedName>
    <definedName name="_PL60">#REF!</definedName>
    <definedName name="_PL61">#REF!</definedName>
    <definedName name="_PL62">#REF!</definedName>
    <definedName name="_PN3">#REF!</definedName>
    <definedName name="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U1000">#REF!</definedName>
    <definedName name="_PU10000">#REF!</definedName>
    <definedName name="_PU10001">#REF!</definedName>
    <definedName name="_PU10002">#REF!</definedName>
    <definedName name="_PU10003">#REF!</definedName>
    <definedName name="_PU10004">#REF!</definedName>
    <definedName name="_PU10005">#REF!</definedName>
    <definedName name="_PU1001">#REF!</definedName>
    <definedName name="_PU1002">#REF!</definedName>
    <definedName name="_PU1003">#REF!</definedName>
    <definedName name="_PU1004">#REF!</definedName>
    <definedName name="_PU1005">#REF!</definedName>
    <definedName name="_PU1006">#REF!</definedName>
    <definedName name="_PU1007">#REF!</definedName>
    <definedName name="_PU1008">#REF!</definedName>
    <definedName name="_PU1009">#REF!</definedName>
    <definedName name="_PU10125">#REF!</definedName>
    <definedName name="_PU1125">#REF!</definedName>
    <definedName name="_pu15000">#REF!</definedName>
    <definedName name="_PU2000">#REF!</definedName>
    <definedName name="_PU2001">#REF!</definedName>
    <definedName name="_PU2002">#REF!</definedName>
    <definedName name="_PU2003">#REF!</definedName>
    <definedName name="_PU2004">#REF!</definedName>
    <definedName name="_PU2005">#REF!</definedName>
    <definedName name="_PU2006">#REF!</definedName>
    <definedName name="_PU2007">#REF!</definedName>
    <definedName name="_PU2008">#REF!</definedName>
    <definedName name="_PU3000">#REF!</definedName>
    <definedName name="_PU3001">#REF!</definedName>
    <definedName name="_PU3002">#REF!</definedName>
    <definedName name="_PU3003">#REF!</definedName>
    <definedName name="_PU3004">#REF!</definedName>
    <definedName name="_PU3005">#REF!</definedName>
    <definedName name="_PU3006">#REF!</definedName>
    <definedName name="_PU3007">#REF!</definedName>
    <definedName name="_PU3008">#REF!</definedName>
    <definedName name="_PU3009">#REF!</definedName>
    <definedName name="_PU3010">#REF!</definedName>
    <definedName name="_PU3011">#REF!</definedName>
    <definedName name="_PU3012">#REF!</definedName>
    <definedName name="_PU3013">#REF!</definedName>
    <definedName name="_PU3014">#REF!</definedName>
    <definedName name="_PU3015">#REF!</definedName>
    <definedName name="_PU3016">#REF!</definedName>
    <definedName name="_PU3017">#REF!</definedName>
    <definedName name="_PU3018">#REF!</definedName>
    <definedName name="_PU3019">#REF!</definedName>
    <definedName name="_PU3020">#REF!</definedName>
    <definedName name="_PU3021">#REF!</definedName>
    <definedName name="_PU3022">#REF!</definedName>
    <definedName name="_PU3023">#REF!</definedName>
    <definedName name="_PU3024">#REF!</definedName>
    <definedName name="_PU4000">#REF!</definedName>
    <definedName name="_PU4001">#REF!</definedName>
    <definedName name="_PU4002">#REF!</definedName>
    <definedName name="_PU4003">#REF!</definedName>
    <definedName name="_PU4004">#REF!</definedName>
    <definedName name="_PU4005">#REF!</definedName>
    <definedName name="_PU4006">#REF!</definedName>
    <definedName name="_PU4007">#REF!</definedName>
    <definedName name="_PU4008">#REF!</definedName>
    <definedName name="_PU4009">#REF!</definedName>
    <definedName name="_PU4010">#REF!</definedName>
    <definedName name="_PU4011">#REF!</definedName>
    <definedName name="_PU4012">#REF!</definedName>
    <definedName name="_PU4013">#REF!</definedName>
    <definedName name="_PU4014">#REF!</definedName>
    <definedName name="_PU4015">#REF!</definedName>
    <definedName name="_PU5000">#REF!</definedName>
    <definedName name="_PU5001">#REF!</definedName>
    <definedName name="_PU5002">#REF!</definedName>
    <definedName name="_PU5003">#REF!</definedName>
    <definedName name="_PU5004">#REF!</definedName>
    <definedName name="_PU5005">#REF!</definedName>
    <definedName name="_PU5006">#REF!</definedName>
    <definedName name="_PU5007">#REF!</definedName>
    <definedName name="_PU5008">#REF!</definedName>
    <definedName name="_PU5009">#REF!</definedName>
    <definedName name="_PU5010">#REF!</definedName>
    <definedName name="_PU5011">#REF!</definedName>
    <definedName name="_PU5012">#REF!</definedName>
    <definedName name="_PU5013">#REF!</definedName>
    <definedName name="_PU5014">#REF!</definedName>
    <definedName name="_PU6000">#REF!</definedName>
    <definedName name="_PU6001">#REF!</definedName>
    <definedName name="_PU6002">#REF!</definedName>
    <definedName name="_PU6003">#REF!</definedName>
    <definedName name="_PU6004">#REF!</definedName>
    <definedName name="_PU6005">#REF!</definedName>
    <definedName name="_PU6006">#REF!</definedName>
    <definedName name="_PU6007">#REF!</definedName>
    <definedName name="_PU6008">#REF!</definedName>
    <definedName name="_PU6009">#REF!</definedName>
    <definedName name="_PU6010">#REF!</definedName>
    <definedName name="_PU6011">#REF!</definedName>
    <definedName name="_PU6012">#REF!</definedName>
    <definedName name="_PU6013">#REF!</definedName>
    <definedName name="_PU6014">#REF!</definedName>
    <definedName name="_PU6015">#REF!</definedName>
    <definedName name="_PU6016">#REF!</definedName>
    <definedName name="_PU6017">#REF!</definedName>
    <definedName name="_PU6018">#REF!</definedName>
    <definedName name="_PU7000">#REF!</definedName>
    <definedName name="_PU7001">#REF!</definedName>
    <definedName name="_PU7002">#REF!</definedName>
    <definedName name="_PU7003">#REF!</definedName>
    <definedName name="_PU7004">#REF!</definedName>
    <definedName name="_PU7005">#REF!</definedName>
    <definedName name="_PU7006">#REF!</definedName>
    <definedName name="_PU7007">#REF!</definedName>
    <definedName name="_PU7008">#REF!</definedName>
    <definedName name="_PU7009">#REF!</definedName>
    <definedName name="_PU7010">#REF!</definedName>
    <definedName name="_PU7011">#REF!</definedName>
    <definedName name="_PU7012">#REF!</definedName>
    <definedName name="_PU7013">#REF!</definedName>
    <definedName name="_PU7014">#REF!</definedName>
    <definedName name="_PU7015">#REF!</definedName>
    <definedName name="_PU7016">#REF!</definedName>
    <definedName name="_PU7017">#REF!</definedName>
    <definedName name="_PU7018">#REF!</definedName>
    <definedName name="_PU7019">#REF!</definedName>
    <definedName name="_PU7020">#REF!</definedName>
    <definedName name="_PU7021">#REF!</definedName>
    <definedName name="_PU7022">#REF!</definedName>
    <definedName name="_PU7023">#REF!</definedName>
    <definedName name="_PU7024">#REF!</definedName>
    <definedName name="_PU8000">#REF!</definedName>
    <definedName name="_PU8001">#REF!</definedName>
    <definedName name="_PU8002">#REF!</definedName>
    <definedName name="_PU8003">#REF!</definedName>
    <definedName name="_PU8004">#REF!</definedName>
    <definedName name="_PU8005">#REF!</definedName>
    <definedName name="_PU8006">#REF!</definedName>
    <definedName name="_PU8007">#REF!</definedName>
    <definedName name="_PU8008">#REF!</definedName>
    <definedName name="_PU8009">#REF!</definedName>
    <definedName name="_PU8010">#REF!</definedName>
    <definedName name="_PU8011">#REF!</definedName>
    <definedName name="_PU8012">#REF!</definedName>
    <definedName name="_PU8013">#REF!</definedName>
    <definedName name="_PU8014">#REF!</definedName>
    <definedName name="_PU8015">#REF!</definedName>
    <definedName name="_PU8125">#REF!</definedName>
    <definedName name="_PU9000">#REF!</definedName>
    <definedName name="_PU9001">#REF!</definedName>
    <definedName name="_PU9002">#REF!</definedName>
    <definedName name="_PU9003">#REF!</definedName>
    <definedName name="_PU9004">#REF!</definedName>
    <definedName name="_PU9005">#REF!</definedName>
    <definedName name="_PU9006">#REF!</definedName>
    <definedName name="_PU9007">#REF!</definedName>
    <definedName name="_PU9008">#REF!</definedName>
    <definedName name="_PU9009">#REF!</definedName>
    <definedName name="_PU9010">#REF!</definedName>
    <definedName name="_PU9011">#REF!</definedName>
    <definedName name="_PU9012">#REF!</definedName>
    <definedName name="_PU9013">#REF!</definedName>
    <definedName name="_PU9014">#REF!</definedName>
    <definedName name="_PU9015">#REF!</definedName>
    <definedName name="_PU9016">#REF!</definedName>
    <definedName name="_PU9017">#REF!</definedName>
    <definedName name="_PU9018">#REF!</definedName>
    <definedName name="_PU9019">#REF!</definedName>
    <definedName name="_PU9020">#REF!</definedName>
    <definedName name="_PU9021">#REF!</definedName>
    <definedName name="_PU9022">#REF!</definedName>
    <definedName name="_PU9023">#REF!</definedName>
    <definedName name="_PU9024">#REF!</definedName>
    <definedName name="_PU9025">#REF!</definedName>
    <definedName name="_PU9026">#REF!</definedName>
    <definedName name="_PU9027">#REF!</definedName>
    <definedName name="_PU9028">#REF!</definedName>
    <definedName name="_R">#REF!</definedName>
    <definedName name="_Regression_Out" hidden="1">#REF!</definedName>
    <definedName name="_Regression_X" hidden="1">#REF!</definedName>
    <definedName name="_Regression_Y" hidden="1">#REF!</definedName>
    <definedName name="_rha1" hidden="1">{"'Sheet1'!$A$1:$G$85"}</definedName>
    <definedName name="_rha2" hidden="1">{"'Sheet1'!$A$1:$G$85"}</definedName>
    <definedName name="_RRR444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UF1">#REF!</definedName>
    <definedName name="_V1">#REF!</definedName>
    <definedName name="_V10">#REF!</definedName>
    <definedName name="_V11">#REF!</definedName>
    <definedName name="_V12">#REF!</definedName>
    <definedName name="_V13">#REF!</definedName>
    <definedName name="_V14">#REF!</definedName>
    <definedName name="_V15">#REF!</definedName>
    <definedName name="_V3">#REF!</definedName>
    <definedName name="_V4">#REF!</definedName>
    <definedName name="_V5">#REF!</definedName>
    <definedName name="_V6">#REF!</definedName>
    <definedName name="_V7">#REF!</definedName>
    <definedName name="_V8">#REF!</definedName>
    <definedName name="_V9">#REF!</definedName>
    <definedName name="_vhc1">#REF!</definedName>
    <definedName name="_w1" hidden="1">{"PVGraph2",#N/A,FALSE,"PV Data"}</definedName>
    <definedName name="_w12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C1">#REF!</definedName>
    <definedName name="_WC2">#REF!</definedName>
    <definedName name="_WC5">#REF!</definedName>
    <definedName name="_x1">#REF!</definedName>
    <definedName name="_x2" hidden="1">{"PVGraph2",#N/A,FALSE,"PV Data"}</definedName>
    <definedName name="_y2" hidden="1">{"PVGraph2",#N/A,FALSE,"PV Data"}</definedName>
    <definedName name="_y22" hidden="1">{"PVGraph2",#N/A,FALSE,"PV Data"}</definedName>
    <definedName name="a" hidden="1">#REF!</definedName>
    <definedName name="A___D_Captacion_Trafico">#REF!</definedName>
    <definedName name="A___D_Gastos_Operativos">#REF!</definedName>
    <definedName name="A___D_Inversion">#REF!</definedName>
    <definedName name="A_IMPRESIÓN_IM">#N/A</definedName>
    <definedName name="a000" hidden="1">{#N/A,#N/A,FALSE,"ANEXO3 99 ERA";#N/A,#N/A,FALSE,"ANEXO3 99 UBÁ2";#N/A,#N/A,FALSE,"ANEXO3 99 DTU";#N/A,#N/A,FALSE,"ANEXO3 99 RDR";#N/A,#N/A,FALSE,"ANEXO3 99 UBÁ4";#N/A,#N/A,FALSE,"ANEXO3 99 UBÁ6"}</definedName>
    <definedName name="aa">#REF!</definedName>
    <definedName name="aa_1" hidden="1">{#N/A,#N/A,FALSE,"GP";#N/A,#N/A,FALSE,"Assinantes";#N/A,#N/A,FALSE,"Rede";#N/A,#N/A,FALSE,"Evolução";#N/A,#N/A,FALSE,"Resultado"}</definedName>
    <definedName name="aaa" hidden="1">{"FS`s",#N/A,TRUE,"FS's";"Icome St",#N/A,TRUE,"Income St.";"Balance Sh",#N/A,TRUE,"Balance Sh.";"Gross Margin",#N/A,TRUE,"Gross Margin"}</definedName>
    <definedName name="aaa_1" hidden="1">{#N/A,#N/A,FALSE,"GP";#N/A,#N/A,FALSE,"Assinantes";#N/A,#N/A,FALSE,"Rede";#N/A,#N/A,FALSE,"Evolução";#N/A,#N/A,FALSE,"Resultado"}</definedName>
    <definedName name="AAA_DOCTOPS" hidden="1">"AAA_SET"</definedName>
    <definedName name="AAA_duser" hidden="1">"OFF"</definedName>
    <definedName name="aaaa">#REF!</definedName>
    <definedName name="aaaaa">#REF!</definedName>
    <definedName name="aaaaaa">#REF!</definedName>
    <definedName name="aaaaaaa">#REF!</definedName>
    <definedName name="aaaaaaaa" hidden="1">#REF!</definedName>
    <definedName name="aaaaaaaaaa" hidden="1">#REF!</definedName>
    <definedName name="aaaaaaaaaaaaaa">#REF!</definedName>
    <definedName name="AAAAAAAAAAAAAAAA" hidden="1">#REF!</definedName>
    <definedName name="aaaaaaaaaaaaaaaaa" hidden="1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asdase">#REF!</definedName>
    <definedName name="AAP">#REF!</definedName>
    <definedName name="AASDFDGG" hidden="1">#REF!</definedName>
    <definedName name="AAZ">#REF!</definedName>
    <definedName name="ab">#REF!</definedName>
    <definedName name="abb" hidden="1">{"'Sheet1'!$A$1:$G$85"}</definedName>
    <definedName name="abc">#REF!</definedName>
    <definedName name="AccessDatabase" hidden="1">"R:\Common\Mandates\Projeto Global\Valuation\Valuation Model_17082005 final.mdb"</definedName>
    <definedName name="Accountinginterestcalculus">#REF!</definedName>
    <definedName name="Accountinginterestvalues">#REF!</definedName>
    <definedName name="ACHART_82">#REF!</definedName>
    <definedName name="ACUMULADO">#REF!</definedName>
    <definedName name="ACwvu.inputs._.raw._.data." hidden="1">#REF!</definedName>
    <definedName name="ACwvu.summary1." hidden="1">#REF!</definedName>
    <definedName name="ACwvu.summary2." hidden="1">#REF!</definedName>
    <definedName name="ACwvu.summary3." hidden="1">#REF!</definedName>
    <definedName name="ada">#REF!</definedName>
    <definedName name="adasda" hidden="1">{#N/A,#N/A,FALSE,"Aging Summary";#N/A,#N/A,FALSE,"Ratio Analysis";#N/A,#N/A,FALSE,"Test 120 Day Accts";#N/A,#N/A,FALSE,"Tickmarks"}</definedName>
    <definedName name="adeletar">#REF!</definedName>
    <definedName name="adeletar1">#REF!</definedName>
    <definedName name="adeletar10">#REF!</definedName>
    <definedName name="adeletar2">#REF!</definedName>
    <definedName name="adeletar20">#REF!</definedName>
    <definedName name="adeletar4">#REF!</definedName>
    <definedName name="adeletar50">#REF!</definedName>
    <definedName name="adeletar51">#REF!</definedName>
    <definedName name="ADF3EFASDF" hidden="1">#REF!</definedName>
    <definedName name="ADFADF" hidden="1">#REF!</definedName>
    <definedName name="ADFADFADFAFDADF" hidden="1">#REF!</definedName>
    <definedName name="ADFADFADGDGASDGAF" hidden="1">#REF!</definedName>
    <definedName name="ADFEEWFV" hidden="1">#REF!</definedName>
    <definedName name="ADFEVCVAD" hidden="1">#REF!</definedName>
    <definedName name="ADFQER3F2FQF" hidden="1">#REF!</definedName>
    <definedName name="adssd">#REF!</definedName>
    <definedName name="ADVCDBCBCBBCBBBC" hidden="1">#REF!</definedName>
    <definedName name="AE">#REF!</definedName>
    <definedName name="AEF3F34" hidden="1">#REF!</definedName>
    <definedName name="aero">#REF!</definedName>
    <definedName name="af">#REF!</definedName>
    <definedName name="AF3FE3" hidden="1">#REF!</definedName>
    <definedName name="AFADFADF" hidden="1">#REF!</definedName>
    <definedName name="AFADFGQETQWEFGTQAEFADF" hidden="1">#REF!</definedName>
    <definedName name="afasd">#REF!</definedName>
    <definedName name="AFAWEDAVXVDVGEG" hidden="1">#REF!</definedName>
    <definedName name="AFEFADF" hidden="1">#REF!</definedName>
    <definedName name="AFER33AFEDAG" hidden="1">#REF!</definedName>
    <definedName name="AFFAVVDA" hidden="1">#REF!</definedName>
    <definedName name="AG34AG" hidden="1">#REF!</definedName>
    <definedName name="aguapa" hidden="1">#REF!</definedName>
    <definedName name="AJUSTE">#REF!</definedName>
    <definedName name="AJUSTES_LUCRO_LÍQUIDO">#REF!</definedName>
    <definedName name="alfa">#N/A</definedName>
    <definedName name="Aline">#REF!</definedName>
    <definedName name="almena">#REF!</definedName>
    <definedName name="als">#REF!</definedName>
    <definedName name="amcklac" hidden="1">#REF!</definedName>
    <definedName name="Amort_Dic">#REF!</definedName>
    <definedName name="Amort_Junio">#REF!</definedName>
    <definedName name="Amort_Marzo">#REF!</definedName>
    <definedName name="Amort_Senior">#REF!</definedName>
    <definedName name="Amort_Sept">#REF!</definedName>
    <definedName name="ANCHO">#REF!</definedName>
    <definedName name="ANEXO3A1">#REF!</definedName>
    <definedName name="ANEXO3A2">#REF!</definedName>
    <definedName name="Angulo">#REF!</definedName>
    <definedName name="anscount" hidden="1">3</definedName>
    <definedName name="antonio" hidden="1">{#N/A,"70% Success",FALSE,"Sales Forecast";#N/A,#N/A,FALSE,"Sheet2"}</definedName>
    <definedName name="aosk">#REF!</definedName>
    <definedName name="ap">#REF!</definedName>
    <definedName name="Apres" hidden="1">#REF!</definedName>
    <definedName name="aq">#REF!</definedName>
    <definedName name="AR_Population">#REF!</definedName>
    <definedName name="ARA_Threshold">#REF!</definedName>
    <definedName name="Area_a_imprimir">#REF!</definedName>
    <definedName name="Área_Edificada">#REF!</definedName>
    <definedName name="AREA_IMPRESION">#REF!</definedName>
    <definedName name="Área_impressão_IM">#REF!</definedName>
    <definedName name="Área_Terreno">#REF!</definedName>
    <definedName name="area2">#N/A</definedName>
    <definedName name="AREA3">#N/A</definedName>
    <definedName name="ARLU">#REF!</definedName>
    <definedName name="ARP_Threshold">#REF!</definedName>
    <definedName name="ARPopulation">#REF!</definedName>
    <definedName name="AS2DocOpenMode" hidden="1">"AS2DocumentEdit"</definedName>
    <definedName name="AS2HasNoAutoHeaderFooter" hidden="1">" "</definedName>
    <definedName name="AS2LinkLS">#REF!</definedName>
    <definedName name="AS2NamedRange" hidden="1">16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>#N/A</definedName>
    <definedName name="asdasd">#REF!</definedName>
    <definedName name="asdasda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asdasdsad">#REF!</definedName>
    <definedName name="asdf" hidden="1">{#N/A,#N/A,FALSE,"Aging Summary";#N/A,#N/A,FALSE,"Ratio Analysis";#N/A,#N/A,FALSE,"Test 120 Day Accts";#N/A,#N/A,FALSE,"Tickmarks"}</definedName>
    <definedName name="ASDFAEFE" hidden="1">#REF!</definedName>
    <definedName name="asdrubal" hidden="1">#REF!</definedName>
    <definedName name="AS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a" hidden="1">{"'RR'!$A$2:$E$81"}</definedName>
    <definedName name="ASF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k" hidden="1">#REF!</definedName>
    <definedName name="ASSADDDAS" hidden="1">#REF!</definedName>
    <definedName name="Asset">#REF!</definedName>
    <definedName name="AV3ADVD" hidden="1">#REF!</definedName>
    <definedName name="AVANCE">#REF!</definedName>
    <definedName name="Average_BD_DSCR">#REF!</definedName>
    <definedName name="AverageDSCR">#REF!</definedName>
    <definedName name="AVQEFQ34TDFVADV" hidden="1">#REF!</definedName>
    <definedName name="AWDFEFÇÇ." hidden="1">#REF!</definedName>
    <definedName name="AZ">#REF!</definedName>
    <definedName name="AZS">#REF!</definedName>
    <definedName name="azul">#REF!</definedName>
    <definedName name="b" hidden="1">#N/A</definedName>
    <definedName name="BA">#REF!</definedName>
    <definedName name="BAJASMAX">#REF!</definedName>
    <definedName name="bAL" hidden="1">{"adm_pl",#N/A,FALSE,"PL"}</definedName>
    <definedName name="BalanceSheetDates">#REF!</definedName>
    <definedName name="balancete">#REF!</definedName>
    <definedName name="BalançoProjetado">#REF!</definedName>
    <definedName name="Bank_Copy">#REF!</definedName>
    <definedName name="Bank_Paste">#REF!</definedName>
    <definedName name="Banrisul" hidden="1">{#N/A,#N/A,FALSE,"ENCO R63";#N/A,#N/A,FALSE,"ENCO"}</definedName>
    <definedName name="bara" hidden="1">#REF!</definedName>
    <definedName name="Barbosa" hidden="1">#REF!</definedName>
    <definedName name="BASE">#REF!</definedName>
    <definedName name="Base_Financ_2021">#REF!</definedName>
    <definedName name="BaseDatos">#REF!</definedName>
    <definedName name="Bases">#REF!</definedName>
    <definedName name="bb">#REF!</definedName>
    <definedName name="BBB" hidden="1">{#N/A,#N/A,FALSE,"GP";#N/A,#N/A,FALSE,"Assinantes";#N/A,#N/A,FALSE,"Rede";#N/A,#N/A,FALSE,"Evolução";#N/A,#N/A,FALSE,"Resultado"}</definedName>
    <definedName name="bbbbbbbb">#REF!</definedName>
    <definedName name="bbbbbbbbbbbb" hidden="1">{#N/A,#N/A,FALSE,"ACTIVO - hoja 1";#N/A,#N/A,FALSE,"ACTIVO - hoja 2";#N/A,#N/A,FALSE,"PASIVO - hoja 1";#N/A,#N/A,FALSE,"PASIVO - hoja 2";#N/A,#N/A,FALSE,"GASTOS - hoja 1 ";#N/A,#N/A,FALSE,"GASTOS - hoja 2";#N/A,#N/A,FALSE,"INGRESOS - hoja 1 ";#N/A,#N/A,FALSE,"INGRESOS - hoja 2"}</definedName>
    <definedName name="BBBBBBBBBBBBBBBBBBBBBBBBBBBBBBBBBBBBBBBBBBB" hidden="1">#REF!</definedName>
    <definedName name="Bchjqchje">#REF!</definedName>
    <definedName name="BD">#REF!</definedName>
    <definedName name="BDB_SMTO3_BZ_Liabilities">#REF!</definedName>
    <definedName name="BDB_SMTO3_BZ_Liabilities_Co">#REF!</definedName>
    <definedName name="BeiForm">#REF!</definedName>
    <definedName name="belnew">#REF!</definedName>
    <definedName name="BERD">#REF!</definedName>
    <definedName name="BERI">#REF!</definedName>
    <definedName name="BFRT_hsaocnryapfgkrbys17g" hidden="1">#REF!</definedName>
    <definedName name="BG">#REF!</definedName>
    <definedName name="BG_Del" hidden="1">15</definedName>
    <definedName name="BG_Ins" hidden="1">4</definedName>
    <definedName name="BG_Mod" hidden="1">6</definedName>
    <definedName name="BH">#REF!</definedName>
    <definedName name="bh_man">#REF!</definedName>
    <definedName name="BH_ORÇ">#REF!</definedName>
    <definedName name="BIN">#REF!</definedName>
    <definedName name="BLABABKAK" hidden="1">{#N/A,#N/A,FALSE,"ANEXO3 99 ERA";#N/A,#N/A,FALSE,"ANEXO3 99 UBÁ2";#N/A,#N/A,FALSE,"ANEXO3 99 DTU";#N/A,#N/A,FALSE,"ANEXO3 99 RDR";#N/A,#N/A,FALSE,"ANEXO3 99 UBÁ4";#N/A,#N/A,FALSE,"ANEXO3 99 UBÁ6"}</definedName>
    <definedName name="BLATTA">#REF!</definedName>
    <definedName name="BlattB">#REF!</definedName>
    <definedName name="BLOQUE">#REF!</definedName>
    <definedName name="BLPB10" hidden="1">#REF!</definedName>
    <definedName name="BLPB100" hidden="1">#REF!</definedName>
    <definedName name="BLPB101" hidden="1">#REF!</definedName>
    <definedName name="BLPB102" hidden="1">#REF!</definedName>
    <definedName name="BLPB103" hidden="1">#REF!</definedName>
    <definedName name="BLPB104" hidden="1">#REF!</definedName>
    <definedName name="BLPB105" hidden="1">#REF!</definedName>
    <definedName name="BLPB106" hidden="1">#REF!</definedName>
    <definedName name="BLPB107" hidden="1">#REF!</definedName>
    <definedName name="BLPB108" hidden="1">#REF!</definedName>
    <definedName name="BLPB11" hidden="1">#REF!</definedName>
    <definedName name="BLPB12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" hidden="1">#REF!</definedName>
    <definedName name="BLPB50" hidden="1">#REF!</definedName>
    <definedName name="BLPB51" hidden="1">#REF!</definedName>
    <definedName name="BLPB52" hidden="1">#REF!</definedName>
    <definedName name="BLPB53" hidden="1">#REF!</definedName>
    <definedName name="BLPB54" hidden="1">#REF!</definedName>
    <definedName name="BLPB55" hidden="1">#REF!</definedName>
    <definedName name="BLPB56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B92" hidden="1">#REF!</definedName>
    <definedName name="BLPB93" hidden="1">#REF!</definedName>
    <definedName name="BLPB94" hidden="1">#REF!</definedName>
    <definedName name="BLPB95" hidden="1">#REF!</definedName>
    <definedName name="BLPB96" hidden="1">#REF!</definedName>
    <definedName name="BLPB97" hidden="1">#REF!</definedName>
    <definedName name="BLPB98" hidden="1">#REF!</definedName>
    <definedName name="BLPB99" hidden="1">#REF!</definedName>
    <definedName name="BLPH1" hidden="1">#REF!</definedName>
    <definedName name="BLPH10" hidden="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5">#REF!</definedName>
    <definedName name="BLPH106">#REF!</definedName>
    <definedName name="BLPH107">#REF!</definedName>
    <definedName name="BLPH108">#REF!</definedName>
    <definedName name="BLPH109">#REF!</definedName>
    <definedName name="BLPH11" hidden="1">#REF!</definedName>
    <definedName name="BLPH110">#REF!</definedName>
    <definedName name="BLPH111">#REF!</definedName>
    <definedName name="BLPH112">#REF!</definedName>
    <definedName name="BLPH113">#REF!</definedName>
    <definedName name="BLPH114">#REF!</definedName>
    <definedName name="BLPH115">#REF!</definedName>
    <definedName name="BLPH116">#REF!</definedName>
    <definedName name="BLPH117">#REF!</definedName>
    <definedName name="BLPH12" hidden="1">#REF!</definedName>
    <definedName name="BLPH13" hidden="1">#REF!</definedName>
    <definedName name="BLPH14" hidden="1">#REF!</definedName>
    <definedName name="BLPH143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9" hidden="1">#REF!</definedName>
    <definedName name="BLPH92">#REF!</definedName>
    <definedName name="BLPH93">#REF!</definedName>
    <definedName name="BLPH94">#REF!</definedName>
    <definedName name="BLPH95">#REF!</definedName>
    <definedName name="BLPH96">#REF!</definedName>
    <definedName name="BLPH97">#REF!</definedName>
    <definedName name="BLPH98">#REF!</definedName>
    <definedName name="BLPH99">#REF!</definedName>
    <definedName name="bonus">#REF!</definedName>
    <definedName name="boston">#REF!</definedName>
    <definedName name="Botón2_AlHacerClic">#N/A</definedName>
    <definedName name="BS_2">#REF!</definedName>
    <definedName name="BS1_1">#REF!</definedName>
    <definedName name="BS1_2">#REF!</definedName>
    <definedName name="BS1_3">#REF!</definedName>
    <definedName name="BS10_A">#REF!</definedName>
    <definedName name="BS10_B">#REF!</definedName>
    <definedName name="BS7_A">#REF!</definedName>
    <definedName name="BS7_B">#REF!</definedName>
    <definedName name="BuiltIn_Database___0">#REF!</definedName>
    <definedName name="BuiltIn_Database___10">#REF!</definedName>
    <definedName name="BuiltIn_Database___34">#REF!</definedName>
    <definedName name="BX">#REF!</definedName>
    <definedName name="BXR">#REF!</definedName>
    <definedName name="BYD">#REF!</definedName>
    <definedName name="C\CEWWEF" hidden="1">#REF!</definedName>
    <definedName name="C_empresa">#REF!</definedName>
    <definedName name="ç4tlt">#REF!</definedName>
    <definedName name="ca" hidden="1">{#N/A,"70% Success",FALSE,"Sales Forecast";#N/A,#N/A,FALSE,"Sheet2"}</definedName>
    <definedName name="CAIXA">#REF!</definedName>
    <definedName name="cajero">#REF!</definedName>
    <definedName name="CAL">#REF!</definedName>
    <definedName name="CALCULO_IRPJ">#REF!</definedName>
    <definedName name="cama">#REF!</definedName>
    <definedName name="Camila" hidden="1">{"'RR'!$A$2:$E$81"}</definedName>
    <definedName name="CamilaMarco" hidden="1">#REF!</definedName>
    <definedName name="CANT_TOTAL">#REF!</definedName>
    <definedName name="CANT_UNIT">#REF!</definedName>
    <definedName name="CAPEX_PERU" hidden="1">#REF!</definedName>
    <definedName name="cargatabla">#REF!</definedName>
    <definedName name="cargatabla2">#REF!</definedName>
    <definedName name="carlos" hidden="1">{#N/A,"10% Success",FALSE,"Sales Forecast";#N/A,#N/A,FALSE,"Sheet2"}</definedName>
    <definedName name="Carne">#REF!</definedName>
    <definedName name="carol" hidden="1">#REF!</definedName>
    <definedName name="carol1" hidden="1">#REF!</definedName>
    <definedName name="Cartão">#REF!</definedName>
    <definedName name="Cashsweepvalues">#REF!</definedName>
    <definedName name="Caso">#REF!</definedName>
    <definedName name="CATASTRO">#REF!</definedName>
    <definedName name="Categ._Valid">#REF!</definedName>
    <definedName name="Categorias">#REF!</definedName>
    <definedName name="cbs">#REF!</definedName>
    <definedName name="CBWorkbookPriority" hidden="1">-1547598554</definedName>
    <definedName name="cc" hidden="1">{#N/A,#N/A,FALSE,"ANEXO3 00 GDV";#N/A,#N/A,FALSE,"ANEXO3 00 GCM";#N/A,#N/A,FALSE,"ANEXO3 00  UBÁ6";#N/A,#N/A,FALSE,"ANEXO3 00 CJI";#N/A,#N/A,FALSE,"ANEXO3 00 UBÁ4";#N/A,#N/A,FALSE,"ANEXO3 00 UBÁ5";#N/A,#N/A,FALSE,"ANEXO3 00 UBÁ7";#N/A,#N/A,FALSE,"ANEXO3 00 VRB1"}</definedName>
    <definedName name="CC.2">#REF!</definedName>
    <definedName name="ccc" hidden="1">{"annual",#N/A,FALSE,"MAS";"margins",#N/A,FALSE,"MAS";"Q",#N/A,FALSE,"Qtrs."}</definedName>
    <definedName name="ççççç" hidden="1">#REF!</definedName>
    <definedName name="cccccccccccccccccccccccccccccccccccccc" hidden="1">#REF!</definedName>
    <definedName name="CCod">#REF!</definedName>
    <definedName name="CCOR">#REF!</definedName>
    <definedName name="CCV">#REF!</definedName>
    <definedName name="CCVCVXCZVC" hidden="1">#REF!</definedName>
    <definedName name="CDCFinan">#REF!</definedName>
    <definedName name="CDCLeasTotal">#REF!</definedName>
    <definedName name="CDCRede">#REF!</definedName>
    <definedName name="cdd">#REF!</definedName>
    <definedName name="CDI">#REF!</definedName>
    <definedName name="CF_TAB">#REF!</definedName>
    <definedName name="CF2_1">#REF!</definedName>
    <definedName name="CF2_2">#REF!</definedName>
    <definedName name="CFF">#REF!</definedName>
    <definedName name="ChangeRange" hidden="1">#N/A</definedName>
    <definedName name="CHECK">#REF!</definedName>
    <definedName name="cheques_fecha">#REF!</definedName>
    <definedName name="CIQWBGuid" hidden="1">"717768e9-9151-48fe-9ab3-ee504ee3048d"</definedName>
    <definedName name="çl">#REF!</definedName>
    <definedName name="claudia" hidden="1">{#N/A,"70% Success",FALSE,"Sales Forecast";#N/A,#N/A,FALSE,"Sheet2"}</definedName>
    <definedName name="çlbv">#REF!</definedName>
    <definedName name="CLCOR">#REF!</definedName>
    <definedName name="çlgb">#REF!</definedName>
    <definedName name="çlgvr">#REF!</definedName>
    <definedName name="CLive">#REF!</definedName>
    <definedName name="çlmdcs">#REF!</definedName>
    <definedName name="COBASI">#REF!</definedName>
    <definedName name="Cod">#REF!</definedName>
    <definedName name="cod_cajero">#REF!</definedName>
    <definedName name="Codigo">#REF!</definedName>
    <definedName name="Código">#REF!</definedName>
    <definedName name="Coeficiente_Aproveitamento">#REF!</definedName>
    <definedName name="Coeficiente_Redutor">#REF!</definedName>
    <definedName name="COF">#REF!</definedName>
    <definedName name="COFINS">#REF!</definedName>
    <definedName name="cofins1">#REF!</definedName>
    <definedName name="cofins2">#REF!</definedName>
    <definedName name="ColorNames">#REF!</definedName>
    <definedName name="ComercialForm">#REF!</definedName>
    <definedName name="comp" hidden="1">#REF!</definedName>
    <definedName name="COMP_PREJUIZOS_FISCAIS">#REF!</definedName>
    <definedName name="Complexidade">#REF!</definedName>
    <definedName name="composicão_01">#REF!</definedName>
    <definedName name="comps">#REF!</definedName>
    <definedName name="Concessão_Malha_Sul" hidden="1">{#N/A,"100% Success",TRUE,"Sales Forecast";#N/A,#N/A,TRUE,"Sheet2"}</definedName>
    <definedName name="CONCILIACAODFC">#REF!</definedName>
    <definedName name="const">#REF!</definedName>
    <definedName name="Consulta_itens_financeiros">#REF!</definedName>
    <definedName name="Cont._Discr">#REF!</definedName>
    <definedName name="Contingente">#REF!</definedName>
    <definedName name="CONTRIBUIÇÃO_SOCIAL">#REF!</definedName>
    <definedName name="Control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Control_PE">#REF!</definedName>
    <definedName name="Conventions">#REF!</definedName>
    <definedName name="cooperativa">#REF!</definedName>
    <definedName name="Cooperativas">#REF!</definedName>
    <definedName name="corporate">#REF!</definedName>
    <definedName name="corrida">#N/A</definedName>
    <definedName name="COST_UNIT">#REF!</definedName>
    <definedName name="COSTOS" hidden="1">#REF!</definedName>
    <definedName name="COTINI">#REF!</definedName>
    <definedName name="COUROVERDE_JFederal_TDA">#REF!</definedName>
    <definedName name="CPART">#REF!</definedName>
    <definedName name="CPYMES">#REF!</definedName>
    <definedName name="cpymes2">#REF!</definedName>
    <definedName name="cr" hidden="1">{"'RR'!$A$2:$E$81"}</definedName>
    <definedName name="CréditoAdicional">#REF!</definedName>
    <definedName name="CréditoAdicionalSOMA">#REF!</definedName>
    <definedName name="CréditoAdicionalSOMASE">#REF!</definedName>
    <definedName name="_xlnm.Criteria">#REF!</definedName>
    <definedName name="criterio">#REF!</definedName>
    <definedName name="Criterios_IM">#REF!</definedName>
    <definedName name="CRM" hidden="1">{#N/A,#N/A,FALSE,"ANEXO3 99 ERA";#N/A,#N/A,FALSE,"ANEXO3 99 UBÁ2";#N/A,#N/A,FALSE,"ANEXO3 99 DTU";#N/A,#N/A,FALSE,"ANEXO3 99 RDR";#N/A,#N/A,FALSE,"ANEXO3 99 UBÁ4";#N/A,#N/A,FALSE,"ANEXO3 99 UBÁ6"}</definedName>
    <definedName name="CronogramadeExecuçãp2003" hidden="1">{#N/A,#N/A,FALSE,"ANEXO3 99 ERA";#N/A,#N/A,FALSE,"ANEXO3 99 UBÁ2";#N/A,#N/A,FALSE,"ANEXO3 99 DTU";#N/A,#N/A,FALSE,"ANEXO3 99 RDR";#N/A,#N/A,FALSE,"ANEXO3 99 UBÁ4";#N/A,#N/A,FALSE,"ANEXO3 99 UBÁ6"}</definedName>
    <definedName name="crtlm" hidden="1">{"'RR'!$A$2:$E$81"}</definedName>
    <definedName name="CS">#REF!</definedName>
    <definedName name="CSL">#REF!</definedName>
    <definedName name="CSLL">#REF!</definedName>
    <definedName name="CSLL1999">#REF!</definedName>
    <definedName name="CT_1">#REF!</definedName>
    <definedName name="Ctrl_Shift_p">#REF!</definedName>
    <definedName name="ctt">#REF!</definedName>
    <definedName name="CuantiaObjetivo">#REF!</definedName>
    <definedName name="currency">#REF!</definedName>
    <definedName name="Custo_construção">#REF!</definedName>
    <definedName name="Custo_terreno">#REF!</definedName>
    <definedName name="Custos_de_Reposição">#REF!</definedName>
    <definedName name="CVAR">#REF!</definedName>
    <definedName name="CVCBVNNBN" hidden="1">#REF!</definedName>
    <definedName name="cvcvc">#REF!</definedName>
    <definedName name="cvwxv">#REF!</definedName>
    <definedName name="CZVAZDEFFE" hidden="1">#REF!</definedName>
    <definedName name="d" hidden="1">{#N/A,"70% Success",FALSE,"Sales Forecast";#N/A,#N/A,FALSE,"Sheet2"}</definedName>
    <definedName name="D.1.3">#REF!</definedName>
    <definedName name="dacv">#REF!</definedName>
    <definedName name="daDADA" hidden="1">#REF!</definedName>
    <definedName name="dados_ok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_ok_1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2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2_1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_1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Rf">#REF!</definedName>
    <definedName name="DASD">#REF!</definedName>
    <definedName name="dasee">#REF!</definedName>
    <definedName name="dasfdsfa">#REF!</definedName>
    <definedName name="Data_primeiro_pagamento">#REF!</definedName>
    <definedName name="DATA10">#REF!</definedName>
    <definedName name="_xlnm.Database">#REF!</definedName>
    <definedName name="DCB4G34RG" hidden="1">#REF!</definedName>
    <definedName name="dconst">#REF!</definedName>
    <definedName name="dd" hidden="1">{#N/A,#N/A,FALSE,"ANEXO3 99 ERA";#N/A,#N/A,FALSE,"ANEXO3 99 UBÁ2";#N/A,#N/A,FALSE,"ANEXO3 99 DTU";#N/A,#N/A,FALSE,"ANEXO3 99 RDR";#N/A,#N/A,FALSE,"ANEXO3 99 UBÁ4";#N/A,#N/A,FALSE,"ANEXO3 99 UBÁ6"}</definedName>
    <definedName name="DD_Curr">#REF!</definedName>
    <definedName name="ddd" hidden="1">{"'RR'!$A$2:$E$81"}</definedName>
    <definedName name="dddd" hidden="1">#REF!</definedName>
    <definedName name="dddddddddddd">#REF!</definedName>
    <definedName name="dddddddddddddd" hidden="1">#REF!</definedName>
    <definedName name="DDDKGKG">#REF!</definedName>
    <definedName name="dde" hidden="1">{"'RR'!$A$2:$E$81"}</definedName>
    <definedName name="ddt">#REF!</definedName>
    <definedName name="de">#REF!</definedName>
    <definedName name="Debt_RepayPCT">#REF!</definedName>
    <definedName name="Debt_RepPCTLast">#REF!</definedName>
    <definedName name="dedef" hidden="1">{"'RR'!$A$2:$E$81"}</definedName>
    <definedName name="deeded">#REF!</definedName>
    <definedName name="deee">#REF!</definedName>
    <definedName name="Definicao">#REF!</definedName>
    <definedName name="deijdei">#REF!</definedName>
    <definedName name="dejdoie">#REF!</definedName>
    <definedName name="delete" hidden="1">{#N/A,#N/A,FALSE,"Principal";#N/A,#N/A,FALSE,"CostCap";#N/A,#N/A,FALSE,"CostOp";#N/A,#N/A,FALSE,"EvalFin";#N/A,#N/A,FALSE,"EvalFin2";#N/A,#N/A,FALSE,"Financ";#N/A,#N/A,FALSE,"GrafSensibilidad";#N/A,#N/A,FALSE,"EvalFinConcesión";#N/A,#N/A,FALSE,"EvalFinConcesión (2)";#N/A,#N/A,FALSE,"EvalFinConcesión (3)";#N/A,#N/A,FALSE,"Créditos"}</definedName>
    <definedName name="DemonstraçãodeResultados">#REF!</definedName>
    <definedName name="desc_discrep">#REF!</definedName>
    <definedName name="Descrição_Total">#REF!</definedName>
    <definedName name="despesas">#REF!</definedName>
    <definedName name="destino" hidden="1">#REF!</definedName>
    <definedName name="Detalhamento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Deuda">#REF!</definedName>
    <definedName name="dexpl">#REF!</definedName>
    <definedName name="DEZM">#REF!</definedName>
    <definedName name="DFAEF3F3" hidden="1">#REF!</definedName>
    <definedName name="DFASFDSAFA" hidden="1">#REF!</definedName>
    <definedName name="DFC" hidden="1">{#N/A,#N/A,FALSE,"ENCO R63";#N/A,#N/A,FALSE,"ENCO"}</definedName>
    <definedName name="dfdd">#REF!</definedName>
    <definedName name="dfdfd56" hidden="1">#REF!</definedName>
    <definedName name="DFDFDF" hidden="1">#REF!</definedName>
    <definedName name="DFFAF" hidden="1">#REF!</definedName>
    <definedName name="DFFGRGH" hidden="1">#REF!</definedName>
    <definedName name="DFG" hidden="1">#REF!</definedName>
    <definedName name="dfsfds" hidden="1">{"'RR'!$A$2:$E$81"}</definedName>
    <definedName name="dfsgfsd" hidden="1">{"'RR'!$A$2:$E$81"}</definedName>
    <definedName name="DGDG">#REF!</definedName>
    <definedName name="dhhda">#REF!</definedName>
    <definedName name="dia">#REF!</definedName>
    <definedName name="día_acum">#REF!</definedName>
    <definedName name="día_mes">#REF!</definedName>
    <definedName name="DIABX">#REF!</definedName>
    <definedName name="DIABXR">#REF!</definedName>
    <definedName name="dias">#REF!</definedName>
    <definedName name="Diccod">#REF!</definedName>
    <definedName name="Dinap">#REF!</definedName>
    <definedName name="disc_tipo">#REF!</definedName>
    <definedName name="Dist_LU_Actual">#REF!</definedName>
    <definedName name="distribucion">#REF!</definedName>
    <definedName name="DKDKDIEIE" hidden="1">#REF!</definedName>
    <definedName name="DMPL_" hidden="1">#REF!</definedName>
    <definedName name="Dolar">#REF!</definedName>
    <definedName name="Dólares">#REF!</definedName>
    <definedName name="dollar">#REF!</definedName>
    <definedName name="donte">#REF!</definedName>
    <definedName name="DRE">#REF!</definedName>
    <definedName name="DRE.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DruckAlleSeiten">#REF!</definedName>
    <definedName name="DruckbSeite3">#REF!</definedName>
    <definedName name="dsa">#REF!</definedName>
    <definedName name="dsad">#REF!</definedName>
    <definedName name="dsaqwadw">#REF!</definedName>
    <definedName name="dsdas" hidden="1">#REF!</definedName>
    <definedName name="DSDDDDDDDDDDD" hidden="1">#REF!</definedName>
    <definedName name="dsds" hidden="1">{#N/A,#N/A,FALSE,"Aging Summary";#N/A,#N/A,FALSE,"Ratio Analysis";#N/A,#N/A,FALSE,"Test 120 Day Accts";#N/A,#N/A,FALSE,"Tickmarks"}</definedName>
    <definedName name="dws">#REF!</definedName>
    <definedName name="e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E34FWEF34T2" hidden="1">#REF!</definedName>
    <definedName name="EBITDA_Rec.Liquida_Graf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eed">#REF!</definedName>
    <definedName name="EEE">#REF!</definedName>
    <definedName name="EEEEEEEEEEEEEEEEEEEEEE" hidden="1">#REF!</definedName>
    <definedName name="EEEEEEEEEEEEEEEEEEEEEEEEEEE" hidden="1">#REF!</definedName>
    <definedName name="eeeeeeeeeeeeeeeeeeeeeeeeeeeeeeee" hidden="1">#REF!</definedName>
    <definedName name="EFAEFFE" hidden="1">#REF!</definedName>
    <definedName name="EFQ3FXFVCV" hidden="1">#REF!</definedName>
    <definedName name="EFQATGDAQTG44" hidden="1">#REF!</definedName>
    <definedName name="eided">#REF!</definedName>
    <definedName name="EinlesenDir">#REF!</definedName>
    <definedName name="EMp" hidden="1">#REF!</definedName>
    <definedName name="emplant">#REF!</definedName>
    <definedName name="empresa">#REF!</definedName>
    <definedName name="ENCR">#REF!</definedName>
    <definedName name="ENERO">#REF!</definedName>
    <definedName name="entrada">#REF!</definedName>
    <definedName name="ENTREGA">#REF!</definedName>
    <definedName name="epc">#REF!</definedName>
    <definedName name="equity">#REF!</definedName>
    <definedName name="equivalente">#REF!</definedName>
    <definedName name="Err_Box_AddSamp">#REF!</definedName>
    <definedName name="Err_Box_Rej">#REF!</definedName>
    <definedName name="Err_CellComments">#REF!</definedName>
    <definedName name="Err_SampErr">#REF!</definedName>
    <definedName name="erwer">#REF!</definedName>
    <definedName name="erytyrtui" hidden="1">#REF!</definedName>
    <definedName name="ESTOQUE" hidden="1">{#N/A,#N/A,FALSE,"BLDC";#N/A,#N/A,FALSE,"RESDC";#N/A,#N/A,FALSE,"BLFV";#N/A,#N/A,FALSE,"RESFV"}</definedName>
    <definedName name="etery">#REF!</definedName>
    <definedName name="euro">#REF!</definedName>
    <definedName name="Euros">#REF!</definedName>
    <definedName name="ev.Calculation" hidden="1">-4105</definedName>
    <definedName name="ev.Initialized" hidden="1">FALSE</definedName>
    <definedName name="EV__DECIMALSYMBOL__" hidden="1">","</definedName>
    <definedName name="EV__EVCOM_OPTIONS__" hidden="1">8</definedName>
    <definedName name="EV__EXPOPTIONS__" hidden="1">0</definedName>
    <definedName name="EV__LASTREFTIME__" hidden="1">"(GMT-03:00)14/12/2011 08:45:49"</definedName>
    <definedName name="EV__LOCKEDCVW__CORPORATIVO" hidden="1">"i_TOT,BALANCE,REAL,ENEL,ML,G001,2006.TOTAL,Contrib_ENDESA,YTD,"</definedName>
    <definedName name="EV__LOCKEDCVW__ECYR" hidden="1">"i_TOT,BALANCE,REAL,ENEL,ML,G051,2006.ENE,Input_M,YTD,"</definedName>
    <definedName name="EV__LOCKEDCVW__ENERSIS" hidden="1">"i_TOT,BALANCE,REAL,ENEL,ML,G300,2006.TOTAL,Contrib_ENDESA,YTD,"</definedName>
    <definedName name="EV__LOCKEDCVW__GRECIA" hidden="1">"i_TOT,BALANCE,REAL,ENEL,ML,G073,2006.TOTAL,Contrib_ENDESA,YTD,"</definedName>
    <definedName name="EV__LOCKEDCVW__IC" hidden="1">"i_TOT,BALANCE,Dec,REAL,ML,G001,2006.TOTAL,YTD,"</definedName>
    <definedName name="EV__LOCKEDCVW__PERIMETRO" hidden="1">"PCON,i_TOT,REAL,ML,G001,2006.TOTAL,YTD,"</definedName>
    <definedName name="EV__LOCKEDCVW__TCAMBIO" hidden="1">"REAL,BRL,Global,2006.TOTAL,CONSRATES,YTD,"</definedName>
    <definedName name="EV__LOCKEDCVW__VALIDACION" hidden="1">"i_TOT,REAL,2006.TOTAL,VALIDACIONESPRUEBA,vnone,YTD,"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134217732</definedName>
    <definedName name="EV__WBVERSION__" hidden="1">0</definedName>
    <definedName name="EV__WSINFO__" hidden="1">"cpfl_fcc"</definedName>
    <definedName name="Eval_MR">#REF!</definedName>
    <definedName name="Evolução" hidden="1">{#N/A,#N/A,FALSE,"GP";#N/A,#N/A,FALSE,"Assinantes";#N/A,#N/A,FALSE,"Rede";#N/A,#N/A,FALSE,"Evolução";#N/A,#N/A,FALSE,"Resultado"}</definedName>
    <definedName name="Evolução_1" hidden="1">{#N/A,#N/A,FALSE,"GP";#N/A,#N/A,FALSE,"Assinantes";#N/A,#N/A,FALSE,"Rede";#N/A,#N/A,FALSE,"Evolução";#N/A,#N/A,FALSE,"Resultado"}</definedName>
    <definedName name="Excel_BuiltIn_Print_Area_4_1">#REF!</definedName>
    <definedName name="Excel_BuiltIn_Print_Area_5">#REF!</definedName>
    <definedName name="Excel_BuiltIn_Print_Area_7">#REF!</definedName>
    <definedName name="Excel_BuiltIn_Print_Area_8">#REF!</definedName>
    <definedName name="ExcelLang">#REF!</definedName>
    <definedName name="Expanded_Testing">#REF!</definedName>
    <definedName name="expl">#REF!</definedName>
    <definedName name="f">#REF!</definedName>
    <definedName name="F34RTFQWEFQW" hidden="1">#REF!</definedName>
    <definedName name="factor">#REF!</definedName>
    <definedName name="fad" hidden="1">{#N/A,"70% Success",FALSE,"Sales Forecast";#N/A,#N/A,FALSE,"Sheet2"}</definedName>
    <definedName name="fae">#REF!</definedName>
    <definedName name="FAFEF" hidden="1">#REF!</definedName>
    <definedName name="fase">#REF!</definedName>
    <definedName name="FASFDFDFA" hidden="1">#REF!</definedName>
    <definedName name="fau" hidden="1">#REF!</definedName>
    <definedName name="FB_Copy">#REF!</definedName>
    <definedName name="FB_Paste">#REF!</definedName>
    <definedName name="FB_RepPCT">#REF!</definedName>
    <definedName name="FB_RepPCTLast">#REF!</definedName>
    <definedName name="fdasf">#REF!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SDewjek7741411" hidden="1">#REF!</definedName>
    <definedName name="fdg" hidden="1">{"'RR'!$A$2:$E$81"}</definedName>
    <definedName name="fdsa">#REF!</definedName>
    <definedName name="fe">#REF!</definedName>
    <definedName name="Febrero">#REF!</definedName>
    <definedName name="fecha">#REF!</definedName>
    <definedName name="Fechas">#REF!</definedName>
    <definedName name="FEFA" hidden="1">#REF!</definedName>
    <definedName name="Fev" hidden="1">{"'RR'!$A$2:$E$81"}</definedName>
    <definedName name="ff">#REF!</definedName>
    <definedName name="FF4_2007">#REF!</definedName>
    <definedName name="ffff" hidden="1">#REF!</definedName>
    <definedName name="fffffffffffff" hidden="1">{#N/A,#N/A,FALSE,"ENCO R63";#N/A,#N/A,FALSE,"ENCO"}</definedName>
    <definedName name="fffffffffffffff" hidden="1">#REF!</definedName>
    <definedName name="fffffffffffffffffffff" hidden="1">#REF!</definedName>
    <definedName name="ffffffffffffffffffffff" hidden="1">#REF!</definedName>
    <definedName name="FG">#REF!</definedName>
    <definedName name="fgd" hidden="1">{"'RR'!$A$2:$E$81"}</definedName>
    <definedName name="fgfg" hidden="1">{"'RR'!$A$2:$E$81"}</definedName>
    <definedName name="FGTS">#REF!</definedName>
    <definedName name="FHWRHQWRH2Q43" hidden="1">#REF!</definedName>
    <definedName name="FILIAL">#REF!</definedName>
    <definedName name="FILIALR">#REF!</definedName>
    <definedName name="fin_concs">#REF!</definedName>
    <definedName name="fin_const">#REF!</definedName>
    <definedName name="fin_proy">#REF!</definedName>
    <definedName name="FINAL">#REF!</definedName>
    <definedName name="FinanceiraAD">#REF!</definedName>
    <definedName name="Financiado">#REF!</definedName>
    <definedName name="fkfk">#REF!</definedName>
    <definedName name="FLPL">#REF!</definedName>
    <definedName name="fonte">#REF!</definedName>
    <definedName name="fonte1">#REF!</definedName>
    <definedName name="For">#REF!</definedName>
    <definedName name="Forecast" hidden="1">#REF!</definedName>
    <definedName name="formulas1">#REF!</definedName>
    <definedName name="fpa">#REF!</definedName>
    <definedName name="FQEFADF" hidden="1">#REF!</definedName>
    <definedName name="FQWEFDCVBCV" hidden="1">#REF!</definedName>
    <definedName name="fredy" hidden="1">{"Deuda bancaria",#N/A,FALSE,"Créditos bancarios";"GMAC",#N/A,FALSE,"Créditos bancarios"}</definedName>
    <definedName name="fredy2" hidden="1">{"Deuda bancaria",#N/A,FALSE,"Créditos bancarios";"GMAC",#N/A,FALSE,"Créditos bancarios"}</definedName>
    <definedName name="Fruta">#REF!</definedName>
    <definedName name="FS_Bronstein" hidden="1">{"FS`s",#N/A,TRUE,"FS's";"Icome St",#N/A,TRUE,"Income St.";"Balance Sh",#N/A,TRUE,"Balance Sh.";"Gross Margin",#N/A,TRUE,"Gross Margin"}</definedName>
    <definedName name="fsaddsa" hidden="1">{"'RR'!$A$2:$E$81"}</definedName>
    <definedName name="fsdfsdf" hidden="1">{"FS`s",#N/A,TRUE,"FS's";"Icome St",#N/A,TRUE,"Income St.";"Balance Sh",#N/A,TRUE,"Balance Sh.";"Gross Margin",#N/A,TRUE,"Gross Margin"}</definedName>
    <definedName name="fsdfsfsd">#REF!</definedName>
    <definedName name="fsdg" hidden="1">{"'RR'!$A$2:$E$81"}</definedName>
    <definedName name="fsfsfsfsfsfsfs">#REF!</definedName>
    <definedName name="FUNRURAL">#REF!</definedName>
    <definedName name="FX">#REF!</definedName>
    <definedName name="g">#REF!</definedName>
    <definedName name="galo">#REF!</definedName>
    <definedName name="GDAEFDF" hidden="1">#REF!</definedName>
    <definedName name="GDGD">#REF!</definedName>
    <definedName name="GDGDFTR">#REF!</definedName>
    <definedName name="general_exp." hidden="1">{#N/A,"100% Success",TRUE,"Sales Forecast";#N/A,#N/A,TRUE,"Sheet2"}</definedName>
    <definedName name="geração" hidden="1">{#N/A,#N/A,FALSE,"ANEXO3 99 ERA";#N/A,#N/A,FALSE,"ANEXO3 99 UBÁ2";#N/A,#N/A,FALSE,"ANEXO3 99 DTU";#N/A,#N/A,FALSE,"ANEXO3 99 RDR";#N/A,#N/A,FALSE,"ANEXO3 99 UBÁ4";#N/A,#N/A,FALSE,"ANEXO3 99 UBÁ6"}</definedName>
    <definedName name="GFDGD">#REF!</definedName>
    <definedName name="GFGFG">#REF!</definedName>
    <definedName name="GFGFGYTRRHHTR" hidden="1">#REF!</definedName>
    <definedName name="gg">#REF!</definedName>
    <definedName name="ggfrd" hidden="1">{"'RR'!$A$2:$E$81"}</definedName>
    <definedName name="ggg">#REF!</definedName>
    <definedName name="gggg" hidden="1">{"Deuda bancaria",#N/A,FALSE,"Créditos bancarios";"GMAC",#N/A,FALSE,"Créditos bancarios"}</definedName>
    <definedName name="ggh" hidden="1">{"'RR'!$A$2:$E$81"}</definedName>
    <definedName name="GGTGJHTGH" hidden="1">#REF!</definedName>
    <definedName name="ghhhg" hidden="1">{"'RR'!$A$2:$E$81"}</definedName>
    <definedName name="go">#REF!</definedName>
    <definedName name="GQ4G4GBCBBVNN" hidden="1">#REF!</definedName>
    <definedName name="Graf" hidden="1">#REF!</definedName>
    <definedName name="GRAFICO">#REF!</definedName>
    <definedName name="GRAFINFRAEST">#REF!</definedName>
    <definedName name="gua" hidden="1">#REF!</definedName>
    <definedName name="Guaraniana" hidden="1">#REF!</definedName>
    <definedName name="H">#REF!</definedName>
    <definedName name="hdf">#REF!</definedName>
    <definedName name="hdfg">#REF!</definedName>
    <definedName name="HEAD_COUNT" hidden="1">#REF!</definedName>
    <definedName name="HEPORT">#REF!</definedName>
    <definedName name="HEPREST">#REF!</definedName>
    <definedName name="HEVIG">#REF!</definedName>
    <definedName name="hewsa">#REF!</definedName>
    <definedName name="hgdfdgh">#REF!</definedName>
    <definedName name="HGFH" hidden="1">#REF!</definedName>
    <definedName name="HGHGFHFGDHFH" hidden="1">#REF!</definedName>
    <definedName name="HGHGHGF" hidden="1">#REF!</definedName>
    <definedName name="hgjg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h.">#REF!</definedName>
    <definedName name="hhh">#REF!</definedName>
    <definedName name="hlfiha">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hgj" hidden="1">{"'RR'!$A$2:$E$81"}</definedName>
    <definedName name="hola">#REF!</definedName>
    <definedName name="hora">#REF!</definedName>
    <definedName name="hose">#REF!</definedName>
    <definedName name="HOY">#REF!</definedName>
    <definedName name="HTML_CodePage" hidden="1">1252</definedName>
    <definedName name="HTML_Control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" hidden="1">"F:\USR\LSALOMO\trabajo\Expectativas\evolución.htm"</definedName>
    <definedName name="HTML_PathFileMac" hidden="1">"Macintosh HD:HomePageStuff:New_Home_Page:datafile:ctryprem.html"</definedName>
    <definedName name="HTML_Title" hidden="1">"Country Risk Premiums"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i">#REF!</definedName>
    <definedName name="ia">#REF!</definedName>
    <definedName name="IB_Copy">#REF!</definedName>
    <definedName name="IB_Paste">#REF!</definedName>
    <definedName name="IB_RepayLast">#REF!</definedName>
    <definedName name="IB_RepayPCT">#REF!</definedName>
    <definedName name="Idade_Real">#REF!</definedName>
    <definedName name="IF" hidden="1">{"FS`s",#N/A,TRUE,"FS's";"Icome St",#N/A,TRUE,"Income St.";"Balance Sh",#N/A,TRUE,"Balance Sh.";"Gross Margin",#N/A,TRUE,"Gross Margin"}</definedName>
    <definedName name="IIII">#REF!</definedName>
    <definedName name="iLUMINAÇÃO" hidden="1">{#N/A,#N/A,FALSE,"ANEXO3 99 ERA";#N/A,#N/A,FALSE,"ANEXO3 99 UBÁ2";#N/A,#N/A,FALSE,"ANEXO3 99 DTU";#N/A,#N/A,FALSE,"ANEXO3 99 RDR";#N/A,#N/A,FALSE,"ANEXO3 99 UBÁ4";#N/A,#N/A,FALSE,"ANEXO3 99 UBÁ6"}</definedName>
    <definedName name="imob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puesto">#REF!</definedName>
    <definedName name="IncomeStatementDates">#REF!</definedName>
    <definedName name="Incump._Criterio">#REF!</definedName>
    <definedName name="Index_Bond_Case">#REF!</definedName>
    <definedName name="INDIC">#REF!</definedName>
    <definedName name="indica">#REF!</definedName>
    <definedName name="Individual">#REF!</definedName>
    <definedName name="IngresosEneNov2003">#REF!</definedName>
    <definedName name="ini_const">#REF!</definedName>
    <definedName name="ini_expl">#REF!</definedName>
    <definedName name="INICIO">#REF!</definedName>
    <definedName name="Input">#REF!</definedName>
    <definedName name="INSS">#REF!</definedName>
    <definedName name="inventories">#REF!</definedName>
    <definedName name="InvestmentBkg">#REF!</definedName>
    <definedName name="ipc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E_BR" hidden="1">"c10"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P_BR" hidden="1">"c34"</definedName>
    <definedName name="IQ_AR_BR" hidden="1">"c41"</definedName>
    <definedName name="IQ_ASSET_BACKED_FDIC" hidden="1">"c6301"</definedName>
    <definedName name="IQ_ASSET_WRITEDOWN_BR" hidden="1">"c50"</definedName>
    <definedName name="IQ_ASSET_WRITEDOWN_CF_BR" hidden="1">"c53"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ROKER_REC_NO_REUT" hidden="1">"c5315"</definedName>
    <definedName name="IQ_AVG_BROKER_REC_REUT" hidden="1">"c3630"</definedName>
    <definedName name="IQ_AVG_PRICE_TARGET" hidden="1">"c82"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PEX_BR" hidden="1">"c111"</definedName>
    <definedName name="IQ_CASH_DIVIDENDS_NET_INCOME_FDIC" hidden="1">"c6738"</definedName>
    <definedName name="IQ_CASH_IN_PROCESS_FDIC" hidden="1">"c6386"</definedName>
    <definedName name="IQ_CASH_OPER_ACT_OR_EST" hidden="1">"c4164"</definedName>
    <definedName name="IQ_CCE_FDIC" hidden="1">"c6296"</definedName>
    <definedName name="IQ_CH">110000</definedName>
    <definedName name="IQ_CHANGE_AP_BR" hidden="1">"c135"</definedName>
    <definedName name="IQ_CHANGE_AR_BR" hidden="1">"c142"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OTHER_NET_OPER_ASSETS_BR" hidden="1">"c3595"</definedName>
    <definedName name="IQ_CHANGE_OTHER_WORK_CAP_BR" hidden="1">"c154"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APIC_BR" hidden="1">"c185"</definedName>
    <definedName name="IQ_COMMON_FDIC" hidden="1">"c6350"</definedName>
    <definedName name="IQ_COMMON_ISSUED_BR" hidden="1">"c199"</definedName>
    <definedName name="IQ_COMMON_REP_BR" hidden="1">"c208"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PAC" hidden="1">"c2801"</definedName>
    <definedName name="IQ_EARNING_ASSETS_FDIC" hidden="1">"c6360"</definedName>
    <definedName name="IQ_EARNING_ASSETS_YIELD_FDIC" hidden="1">"c6724"</definedName>
    <definedName name="IQ_EARNINGS_ANNOUNCE_DATE_REUT" hidden="1">"c5314"</definedName>
    <definedName name="IQ_EARNINGS_COVERAGE_NET_CHARGE_OFFS_FDIC" hidden="1">"c6735"</definedName>
    <definedName name="IQ_EBITDA_EST_REUT" hidden="1">"c3640"</definedName>
    <definedName name="IQ_EBITDA_HIGH_EST_REUT" hidden="1">"c3642"</definedName>
    <definedName name="IQ_EBITDA_LOW_EST_REUT" hidden="1">"c3643"</definedName>
    <definedName name="IQ_EBITDA_MEDIAN_EST_REUT" hidden="1">"c3641"</definedName>
    <definedName name="IQ_EBITDA_NUM_EST_REUT" hidden="1">"c3644"</definedName>
    <definedName name="IQ_EBITDA_STDDEV_EST_REUT" hidden="1">"c3645"</definedName>
    <definedName name="IQ_EBT_BR" hidden="1">"c378"</definedName>
    <definedName name="IQ_EBT_EXCL_BR" hidden="1">"c381"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PS_EST_REUT" hidden="1">"c5453"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UM_EST_REUT" hidden="1">"c5451"</definedName>
    <definedName name="IQ_EPS_STDDEV_EST_REUT" hidden="1">"c5452"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_ACT_FFO_REUT" hidden="1">"c3843"</definedName>
    <definedName name="IQ_EST_CURRENCY_REUT" hidden="1">"c5437"</definedName>
    <definedName name="IQ_EST_DATE_REUT" hidden="1">"c5438"</definedName>
    <definedName name="IQ_EST_EPS_GROWTH_1YR_REUT" hidden="1">"c3646"</definedName>
    <definedName name="IQ_EST_EPS_GROWTH_5YR_REUT" hidden="1">"c3633"</definedName>
    <definedName name="IQ_EST_EPS_GROWTH_Q_1YR_REUT" hidden="1">"c5410"</definedName>
    <definedName name="IQ_EST_FFO_DIFF_REUT" hidden="1">"c3890"</definedName>
    <definedName name="IQ_EST_FFO_SURPRISE_PERCENT_REUT" hidden="1">"c3891"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IMATED_ASSESSABLE_DEPOSITS_FDIC" hidden="1">"c6490"</definedName>
    <definedName name="IQ_ESTIMATED_INSURED_DEPOSITS_FDIC" hidden="1">"c6491"</definedName>
    <definedName name="IQ_EXPENSE_CODE_">"assign"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_BR" hidden="1">"c412"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"c4970"</definedName>
    <definedName name="IQ_FFO_EST_REUT" hidden="1">"c3837"</definedName>
    <definedName name="IQ_FFO_HIGH_EST_CIQ" hidden="1">"c4977"</definedName>
    <definedName name="IQ_FFO_HIGH_EST_REUT" hidden="1">"c3839"</definedName>
    <definedName name="IQ_FFO_LOW_EST_CIQ" hidden="1">"c4978"</definedName>
    <definedName name="IQ_FFO_LOW_EST_REUT" hidden="1">"c3840"</definedName>
    <definedName name="IQ_FFO_MEDIAN_EST_CIQ" hidden="1">"c4979"</definedName>
    <definedName name="IQ_FFO_MEDIAN_EST_REUT" hidden="1">"c3838"</definedName>
    <definedName name="IQ_FFO_NUM_EST_CIQ" hidden="1">"c4980"</definedName>
    <definedName name="IQ_FFO_NUM_EST_REUT" hidden="1">"c3841"</definedName>
    <definedName name="IQ_FFO_STDDEV_EST_CIQ" hidden="1">"c4981"</definedName>
    <definedName name="IQ_FFO_STDDEV_EST_REUT" hidden="1">"c3842"</definedName>
    <definedName name="IQ_FH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Y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W_AMORT_BR" hidden="1">"c532"</definedName>
    <definedName name="IQ_GW_INTAN_AMORT_BR" hidden="1">"c1470"</definedName>
    <definedName name="IQ_GW_INTAN_AMORT_CF_BR" hidden="1">"c1473"</definedName>
    <definedName name="IQ_HELD_MATURITY_FDIC" hidden="1">"c6408"</definedName>
    <definedName name="IQ_HIGH_TARGET_PRICE_REUT" hidden="1">"c5317"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EQUITY_BR" hidden="1">"c550"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SETTLE_BR" hidden="1">"c572"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BR" hidden="1">"c586"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_LOANS_CF_BR" hidden="1">"c630"</definedName>
    <definedName name="IQ_INVEST_SECURITY_CF_BR" hidden="1">"c639"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_BR" hidden="1">"c649"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CF_BR" hidden="1">"c661"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OW_TARGET_PRICE_REUT" hidden="1">"c5318"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MONTH" hidden="1">120000</definedName>
    <definedName name="IQ_MACRO_SURVEY_CONSUMER_SENTIMENT" hidden="1">"c20808"</definedName>
    <definedName name="IQ_MAINT_CAPEX_ACT_OR_EST" hidden="1">"c4458"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_BR" hidden="1">"c715"</definedName>
    <definedName name="IQ_MERGER_RESTRUCTURE_BR" hidden="1">"c721"</definedName>
    <definedName name="IQ_MINORITY_INTEREST_BR" hidden="1">"c729"</definedName>
    <definedName name="IQ_MKTCAP_TOTAL_REV_FWD_REUT" hidden="1">"c4048"</definedName>
    <definedName name="IQ_MONEY_MARKET_DEPOSIT_ACCOUNTS_FDIC" hidden="1">"c6553"</definedName>
    <definedName name="IQ_MONTH">15000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43785.7552199074</definedName>
    <definedName name="IQ_NAV_ACT_OR_EST" hidden="1">"c2225"</definedName>
    <definedName name="IQ_NET_CHARGE_OFFS_FDIC" hidden="1">"c6641"</definedName>
    <definedName name="IQ_NET_CHARGE_OFFS_LOANS_FDIC" hidden="1">"c6751"</definedName>
    <definedName name="IQ_NET_DEBT_ISSUED_BR" hidden="1">"c753"</definedName>
    <definedName name="IQ_NET_INCOME_FDIC" hidden="1">"c6587"</definedName>
    <definedName name="IQ_NET_INT_INC_BNK_FDIC" hidden="1">"c6570"</definedName>
    <definedName name="IQ_NET_INT_INC_BR" hidden="1">"c765"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G_TOTAL_OIL_PRODUCTON" hidden="1">"c2059"</definedName>
    <definedName name="IQ_OPENED55" hidden="1">1</definedName>
    <definedName name="IQ_OPER_INC_BR" hidden="1">"c850"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MORT_BR" hidden="1">"c5566"</definedName>
    <definedName name="IQ_OTHER_ASSETS_BR" hidden="1">"c862"</definedName>
    <definedName name="IQ_OTHER_ASSETS_FDIC" hidden="1">"c6338"</definedName>
    <definedName name="IQ_OTHER_BORROWED_FUNDS_FDIC" hidden="1">"c6345"</definedName>
    <definedName name="IQ_OTHER_CA_SUPPL_BR" hidden="1">"c871"</definedName>
    <definedName name="IQ_OTHER_CL_SUPPL_BR" hidden="1">"c880"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SURANCE_FEES_FDIC" hidden="1">"c6672"</definedName>
    <definedName name="IQ_OTHER_INTAN_BR" hidden="1">"c909"</definedName>
    <definedName name="IQ_OTHER_INTANGIBLE_FDIC" hidden="1">"c6337"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T_ASSETS_BR" hidden="1">"c948"</definedName>
    <definedName name="IQ_OTHER_MINING_REVENUE_COAL" hidden="1">"c15931"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NON_OPER_EXP_BR" hidden="1">"c957"</definedName>
    <definedName name="IQ_OTHER_NON_OPER_EXP_SUPPL_BR" hidden="1">"c962"</definedName>
    <definedName name="IQ_OTHER_OFF_BS_LIAB_FDIC" hidden="1">"c6533"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_OWNED_FDIC" hidden="1">"c6330"</definedName>
    <definedName name="IQ_OTHER_REV_BR" hidden="1">"c1011"</definedName>
    <definedName name="IQ_OTHER_REV_SUPPL_BR" hidden="1">"c1016"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_BR" hidden="1">"c1561"</definedName>
    <definedName name="IQ_OTHER_UNUSUAL_SUPPL_BR" hidden="1">"c1496"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C_WRITTEN" hidden="1">"c1027"</definedName>
    <definedName name="IQ_PE_EXCL_FWD_REUT" hidden="1">"c4049"</definedName>
    <definedName name="IQ_PEG_FWD_REUT" hidden="1">"c4052"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INSURED_FDIC" hidden="1">"c6374"</definedName>
    <definedName name="IQ_PLEDGED_SECURITIES_FDIC" hidden="1">"c6401"</definedName>
    <definedName name="IQ_PRE_TAX_INCOME_FDIC" hidden="1">"c6581"</definedName>
    <definedName name="IQ_PREF_ISSUED_BR" hidden="1">"c1047"</definedName>
    <definedName name="IQ_PREF_OTHER_BR" hidden="1">"c1055"</definedName>
    <definedName name="IQ_PREF_REP_BR" hidden="1">"c1062"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CE_TARGET_REUT" hidden="1">"c3631"</definedName>
    <definedName name="IQ_PRIMARY_EPS_TYPE_THOM" hidden="1">"c5297"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IDENTIAL_LOANS" hidden="1">"c1102"</definedName>
    <definedName name="IQ_RESTATEMENTS_NET_FDIC" hidden="1">"c6500"</definedName>
    <definedName name="IQ_RESTRUCTURE_BR" hidden="1">"c1106"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BROK" hidden="1">"c1115"</definedName>
    <definedName name="IQ_RETURN_ASSETS_FDIC" hidden="1">"c6730"</definedName>
    <definedName name="IQ_RETURN_EQUITY_BROK" hidden="1">"c1120"</definedName>
    <definedName name="IQ_RETURN_EQUITY_FDIC" hidden="1">"c6732"</definedName>
    <definedName name="IQ_REV_STDDEV_EST_REUT" hidden="1">"c3639"</definedName>
    <definedName name="IQ_REVALUATION_GAINS_FDIC" hidden="1">"c6428"</definedName>
    <definedName name="IQ_REVALUATION_LOSSES_FDIC" hidden="1">"c6429"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RISK_WEIGHTED_ASSETS_FDIC" hidden="1">"c6370"</definedName>
    <definedName name="IQ_ROYALTY_REVENUE_COAL" hidden="1">"c15932"</definedName>
    <definedName name="IQ_SALARY_FDIC" hidden="1">"c6576"</definedName>
    <definedName name="IQ_SALE_CONVERSION_RETIREMENT_STOCK_FDIC" hidden="1">"c6661"</definedName>
    <definedName name="IQ_SALE_INTAN_CF_BR" hidden="1">"c1133"</definedName>
    <definedName name="IQ_SALE_PPE_CF_BR" hidden="1">"c1139"</definedName>
    <definedName name="IQ_SALE_REAL_ESTATE_CF_BR" hidden="1">"c1145"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ARGET_PRICE_NUM_REUT" hidden="1">"c5319"</definedName>
    <definedName name="IQ_TARGET_PRICE_STDDEV_REUT" hidden="1">"c5320"</definedName>
    <definedName name="IQ_TEV_EBITDA_FWD_REUT" hidden="1">"c4050"</definedName>
    <definedName name="IQ_TEV_TOTAL_REV_FWD_REUT" hidden="1">"c4051"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R_BR" hidden="1">"c1231"</definedName>
    <definedName name="IQ_TOTAL_ASSETS_FDIC" hidden="1">"c6339"</definedName>
    <definedName name="IQ_TOTAL_CHARGE_OFFS_FDIC" hidden="1">"c6603"</definedName>
    <definedName name="IQ_TOTAL_DEBT_ISSUED_BR" hidden="1">"c1253"</definedName>
    <definedName name="IQ_TOTAL_DEBT_REPAID_BR" hidden="1">"c1260"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BR" hidden="1">"c1278"</definedName>
    <definedName name="IQ_TOTAL_LIAB_EQUITY_FDIC" hidden="1">"c6354"</definedName>
    <definedName name="IQ_TOTAL_LIABILITIES_FDIC" hidden="1">"c6348"</definedName>
    <definedName name="IQ_TOTAL_OPER_EXP_BR" hidden="1">"c1284"</definedName>
    <definedName name="IQ_TOTAL_PENSION_OBLIGATION" hidden="1">"c1292"</definedName>
    <definedName name="IQ_TOTAL_RECOVERIES_FDIC" hidden="1">"c6622"</definedName>
    <definedName name="IQ_TOTAL_REV_BNK_FDIC" hidden="1">"c6786"</definedName>
    <definedName name="IQ_TOTAL_REV_BR" hidden="1">"c1303"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OTHER_EQUITY_BR" hidden="1">"c1314"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REV_CURRENT_BR" hidden="1">"c1324"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>3000</definedName>
    <definedName name="IQ_YTDMONTH" hidden="1">130000</definedName>
    <definedName name="IQB_BOOKMARK_COUNT" hidden="1">1</definedName>
    <definedName name="IQB_BOOKMARK_LOCATION_0" hidden="1">#REF!</definedName>
    <definedName name="IQRA1" hidden="1">"$A$2"</definedName>
    <definedName name="IQRAA33" hidden="1">"$AA$34:$AA$2208"</definedName>
    <definedName name="IQRAA41" hidden="1">"$AA$42"</definedName>
    <definedName name="IQRAC33" hidden="1">"$AC$34:$AC$2159"</definedName>
    <definedName name="IQRAC41" hidden="1">"$AC$42"</definedName>
    <definedName name="IQRAD33" hidden="1">"$AD$34:$AD$2159"</definedName>
    <definedName name="IQRAD41" hidden="1">"$AD$42"</definedName>
    <definedName name="IQRAF33" hidden="1">"$AF$34:$AF$2208"</definedName>
    <definedName name="IQRAF41" hidden="1">"$AF$42"</definedName>
    <definedName name="IQRAG33" hidden="1">"$AG$34:$AG$2208"</definedName>
    <definedName name="IQRAG41" hidden="1">"$AG$42"</definedName>
    <definedName name="IQRAH33" hidden="1">"$AH$34:$AH$2229"</definedName>
    <definedName name="IQRAI33" hidden="1">"$AI$34:$AI$2229"</definedName>
    <definedName name="IQRAI41" hidden="1">"$AI$42:$AI$547"</definedName>
    <definedName name="IQRAJ41" hidden="1">"$AJ$42:$AJ$547"</definedName>
    <definedName name="IQRAM33" hidden="1">"$AM$34:$AM$2193"</definedName>
    <definedName name="IQRAN33" hidden="1">"$AN$34:$AN$2193"</definedName>
    <definedName name="IQRAR33" hidden="1">"$AR$34:$AR$2229"</definedName>
    <definedName name="IQRAS33" hidden="1">"$AS$34:$AS$2229"</definedName>
    <definedName name="IQRB33" hidden="1">"$B$34:$B$2160"</definedName>
    <definedName name="IQRB41" hidden="1">"$B$42:$B$529"</definedName>
    <definedName name="IQRBZ41" hidden="1">"$BZ$42:$BZ$538"</definedName>
    <definedName name="IQRC33" hidden="1">"$C$34:$C$2160"</definedName>
    <definedName name="IQRC41" hidden="1">"$C$42:$C$529"</definedName>
    <definedName name="IQRCA41" hidden="1">"$CA$42:$CA$538"</definedName>
    <definedName name="IQRCC41" hidden="1">"$CC$42:$CC$538"</definedName>
    <definedName name="IQRCD41" hidden="1">"$CD$42:$CD$538"</definedName>
    <definedName name="IQRCF41" hidden="1">"$CF$42:$CF$547"</definedName>
    <definedName name="IQRCG41" hidden="1">"$CG$42:$CG$547"</definedName>
    <definedName name="IQRD112" hidden="1">"$D$113:$D$133"</definedName>
    <definedName name="IQRD33" hidden="1">"$D$34"</definedName>
    <definedName name="IQRE33" hidden="1">"$E$34:$E$2141"</definedName>
    <definedName name="IQRE41" hidden="1">"$E$42:$E$545"</definedName>
    <definedName name="IQRF41" hidden="1">"$F$42:$F$545"</definedName>
    <definedName name="IQRH4" hidden="1">"$H$5"</definedName>
    <definedName name="IQRH41" hidden="1">"$H$42:$H$283"</definedName>
    <definedName name="IQRI41" hidden="1">"$I$42:$I$283"</definedName>
    <definedName name="IQRI7" hidden="1">"$I$8:$I$261"</definedName>
    <definedName name="IQRK33" hidden="1">"$K$34"</definedName>
    <definedName name="IQRK41" hidden="1">"$K$42:$K$565"</definedName>
    <definedName name="IQRL41" hidden="1">"$L$42:$L$565"</definedName>
    <definedName name="IQRN33" hidden="1">"$N$34:$N$2186"</definedName>
    <definedName name="IQRN4" hidden="1">"$N$5"</definedName>
    <definedName name="IQRN41" hidden="1">"$N$42:$N$538"</definedName>
    <definedName name="IQRO33" hidden="1">"$O$34:$O$2186"</definedName>
    <definedName name="IQRO41" hidden="1">"$O$42:$O$538"</definedName>
    <definedName name="IQRPriceEventsAA22" hidden="1">#REF!</definedName>
    <definedName name="IQRPriceEventsAB22" hidden="1">#REF!</definedName>
    <definedName name="IQRPriceEventsAC22" hidden="1">#REF!</definedName>
    <definedName name="IQRPriceEventsAD22" hidden="1">#REF!</definedName>
    <definedName name="IQRPriceEventsAR22" hidden="1">#REF!</definedName>
    <definedName name="IQRPriceEventsAS22" hidden="1">#REF!</definedName>
    <definedName name="IQRPriceEventsAT22" hidden="1">#REF!</definedName>
    <definedName name="IQRPriceEventsAU22" hidden="1">#REF!</definedName>
    <definedName name="IQRPriceEventsAV22" hidden="1">#REF!</definedName>
    <definedName name="IQRPriceEventsAW22" hidden="1">#REF!</definedName>
    <definedName name="IQRPriceEventsAX22" hidden="1">#REF!</definedName>
    <definedName name="IQRPriceEventsAY22" hidden="1">#REF!</definedName>
    <definedName name="IQRPriceEventsB22" hidden="1">#REF!</definedName>
    <definedName name="IQRPriceEventsBM22" hidden="1">#REF!</definedName>
    <definedName name="IQRPriceEventsBN22" hidden="1">#REF!</definedName>
    <definedName name="IQRPriceEventsBO22" hidden="1">#REF!</definedName>
    <definedName name="IQRPriceEventsBP22" hidden="1">#REF!</definedName>
    <definedName name="IQRPriceEventsBQ22" hidden="1">#REF!</definedName>
    <definedName name="IQRPriceEventsBR22" hidden="1">#REF!</definedName>
    <definedName name="IQRPriceEventsBS22" hidden="1">#REF!</definedName>
    <definedName name="IQRPriceEventsBT22" hidden="1">#REF!</definedName>
    <definedName name="IQRPriceEventsC22" hidden="1">#REF!</definedName>
    <definedName name="IQRPriceEventsCI22" hidden="1">#REF!</definedName>
    <definedName name="IQRPriceEventsCJ22" hidden="1">#REF!</definedName>
    <definedName name="IQRPriceEventsD22" hidden="1">#REF!</definedName>
    <definedName name="IQRPriceEventsE22" hidden="1">#REF!</definedName>
    <definedName name="IQRPriceEventsF22" hidden="1">#REF!</definedName>
    <definedName name="IQRPriceEventsG22" hidden="1">#REF!</definedName>
    <definedName name="IQRPriceEventsH22" hidden="1">#REF!</definedName>
    <definedName name="IQRPriceEventsI22" hidden="1">#REF!</definedName>
    <definedName name="IQRPriceEventsW22" hidden="1">#REF!</definedName>
    <definedName name="IQRPriceEventsX22" hidden="1">#REF!</definedName>
    <definedName name="IQRPriceEventsY22" hidden="1">#REF!</definedName>
    <definedName name="IQRPriceEventsZ22" hidden="1">#REF!</definedName>
    <definedName name="IQRQ33" hidden="1">"$Q$34:$Q$255"</definedName>
    <definedName name="IQRQ41" hidden="1">"$Q$42:$Q$528"</definedName>
    <definedName name="IQRR33" hidden="1">"$R$34:$R$255"</definedName>
    <definedName name="IQRR41" hidden="1">"$R$42:$R$528"</definedName>
    <definedName name="IQRS33" hidden="1">"$S$34:$S$275"</definedName>
    <definedName name="IQRSectorF46" hidden="1">#REF!</definedName>
    <definedName name="IQRSectorG46" hidden="1">#REF!</definedName>
    <definedName name="IQRSectorI46" hidden="1">#REF!</definedName>
    <definedName name="IQRSectorJ46" hidden="1">#REF!</definedName>
    <definedName name="IQRSectorL46" hidden="1">#REF!</definedName>
    <definedName name="IQRSectorM46" hidden="1">#REF!</definedName>
    <definedName name="IQRSectorO46" hidden="1">#REF!</definedName>
    <definedName name="IQRSectorP46" hidden="1">#REF!</definedName>
    <definedName name="IQRSheet12B18" hidden="1">#REF!</definedName>
    <definedName name="IQRSheet12C18" hidden="1">#REF!</definedName>
    <definedName name="IQRSheet12E18" hidden="1">#REF!</definedName>
    <definedName name="IQRSheet12F18" hidden="1">#REF!</definedName>
    <definedName name="IQRSheet1B15" hidden="1">#REF!</definedName>
    <definedName name="IQRSheet1B18" hidden="1">#REF!</definedName>
    <definedName name="IQRSheet1B20" hidden="1">#REF!</definedName>
    <definedName name="IQRSheet1C15" hidden="1">#REF!</definedName>
    <definedName name="IQRSheet1C18" hidden="1">#REF!</definedName>
    <definedName name="IQRSheet1C20" hidden="1">#REF!</definedName>
    <definedName name="IQRSheet1E15" hidden="1">#REF!</definedName>
    <definedName name="IQRSheet1E18" hidden="1">#REF!</definedName>
    <definedName name="IQRSheet1E20" hidden="1">#REF!</definedName>
    <definedName name="IQRSheet1F15" hidden="1">#REF!</definedName>
    <definedName name="IQRSheet1F18" hidden="1">#REF!</definedName>
    <definedName name="IQRSheet1F20" hidden="1">#REF!</definedName>
    <definedName name="IQRSheet1G15" hidden="1">#REF!</definedName>
    <definedName name="IQRSheet1P18" hidden="1">#REF!</definedName>
    <definedName name="IQRSheet1P20" hidden="1">#REF!</definedName>
    <definedName name="IQRSheet1Q18" hidden="1">#REF!</definedName>
    <definedName name="IQRSheet1Q20" hidden="1">#REF!</definedName>
    <definedName name="IQRSheet1R18" hidden="1">#REF!</definedName>
    <definedName name="IQRSheet1S18" hidden="1">#REF!</definedName>
    <definedName name="IQRSheet2F52" hidden="1">#REF!</definedName>
    <definedName name="IQRSheet2G52" hidden="1">#REF!</definedName>
    <definedName name="IQRSheet2H52" hidden="1">#REF!</definedName>
    <definedName name="IQRSheet2I52" hidden="1">#REF!</definedName>
    <definedName name="IQRSPP1AA36" hidden="1">#REF!</definedName>
    <definedName name="IQRSPP1AC36" hidden="1">#REF!</definedName>
    <definedName name="IQRSPP1AD36" hidden="1">#REF!</definedName>
    <definedName name="IQRSPP1AF36" hidden="1">#REF!</definedName>
    <definedName name="IQRSPP1AG36" hidden="1">#REF!</definedName>
    <definedName name="IQRSPP1AI36" hidden="1">#REF!</definedName>
    <definedName name="IQRSPP1AJ36" hidden="1">#REF!</definedName>
    <definedName name="IQRSPP1AL36" hidden="1">#REF!</definedName>
    <definedName name="IQRSPP1AM36" hidden="1">#REF!</definedName>
    <definedName name="IQRSPP1AO36" hidden="1">#REF!</definedName>
    <definedName name="IQRSPP1AP36" hidden="1">#REF!</definedName>
    <definedName name="IQRSPP1B36" hidden="1">#REF!</definedName>
    <definedName name="IQRSPP1C36" hidden="1">#REF!</definedName>
    <definedName name="IQRSPP1E36" hidden="1">#REF!</definedName>
    <definedName name="IQRSPP1F36" hidden="1">#REF!</definedName>
    <definedName name="IQRSPP1H36" hidden="1">#REF!</definedName>
    <definedName name="IQRSPP1I36" hidden="1">#REF!</definedName>
    <definedName name="IQRSPP1K36" hidden="1">#REF!</definedName>
    <definedName name="IQRSPP1L36" hidden="1">#REF!</definedName>
    <definedName name="IQRSPP1N36" hidden="1">#REF!</definedName>
    <definedName name="IQRSPP1O36" hidden="1">#REF!</definedName>
    <definedName name="IQRSPP1Q36" hidden="1">#REF!</definedName>
    <definedName name="IQRSPP1R36" hidden="1">#REF!</definedName>
    <definedName name="IQRSPP1T36" hidden="1">#REF!</definedName>
    <definedName name="IQRSPP1U36" hidden="1">#REF!</definedName>
    <definedName name="IQRSPP1W36" hidden="1">#REF!</definedName>
    <definedName name="IQRSPP1X36" hidden="1">#REF!</definedName>
    <definedName name="IQRSPP1Z36" hidden="1">#REF!</definedName>
    <definedName name="IQRSPP22B20" hidden="1">#REF!</definedName>
    <definedName name="IQRSPP22C20" hidden="1">#REF!</definedName>
    <definedName name="IQRSPP22E20" hidden="1">#REF!</definedName>
    <definedName name="IQRSPP22F20" hidden="1">#REF!</definedName>
    <definedName name="IQRSPP22P20" hidden="1">#REF!</definedName>
    <definedName name="IQRSPP22Q20" hidden="1">#REF!</definedName>
    <definedName name="IQRSPP2AP20" hidden="1">#REF!</definedName>
    <definedName name="IQRSPP2B20" hidden="1">#REF!</definedName>
    <definedName name="IQRSPP2C20" hidden="1">#REF!</definedName>
    <definedName name="IQRSPP2E20" hidden="1">#REF!</definedName>
    <definedName name="IQRSPP2F20" hidden="1">#REF!</definedName>
    <definedName name="IQRSPP2H20" hidden="1">#REF!</definedName>
    <definedName name="IQRSPP2I20" hidden="1">#REF!</definedName>
    <definedName name="IQRSPP2K20" hidden="1">#REF!</definedName>
    <definedName name="IQRSPP2L20" hidden="1">#REF!</definedName>
    <definedName name="IQRSPP2N20" hidden="1">#REF!</definedName>
    <definedName name="IQRSPP2O20" hidden="1">#REF!</definedName>
    <definedName name="IQRSPP2P20" hidden="1">#REF!</definedName>
    <definedName name="IQRSPP2Q20" hidden="1">#REF!</definedName>
    <definedName name="IQRSPP2R20" hidden="1">#REF!</definedName>
    <definedName name="IQRSPP2T20" hidden="1">#REF!</definedName>
    <definedName name="IQRSPP2U20" hidden="1">#REF!</definedName>
    <definedName name="IQRSPP32B20" hidden="1">#REF!</definedName>
    <definedName name="IQRSPP32C20" hidden="1">#REF!</definedName>
    <definedName name="IQRSPP32E20" hidden="1">#REF!</definedName>
    <definedName name="IQRSPP32F20" hidden="1">#REF!</definedName>
    <definedName name="IQRSPP32H20" hidden="1">#REF!</definedName>
    <definedName name="IQRSPP32I20" hidden="1">#REF!</definedName>
    <definedName name="IQRSPP32U20" hidden="1">#REF!</definedName>
    <definedName name="IQRSPP32V20" hidden="1">#REF!</definedName>
    <definedName name="IQRSPP3B20" hidden="1">#REF!</definedName>
    <definedName name="IQRSPP3C20" hidden="1">#REF!</definedName>
    <definedName name="IQRSPP3E20" hidden="1">#REF!</definedName>
    <definedName name="IQRSPP3F20" hidden="1">#REF!</definedName>
    <definedName name="IQRSPP3H20" hidden="1">#REF!</definedName>
    <definedName name="IQRSPP3I20" hidden="1">#REF!</definedName>
    <definedName name="IQRSPP3S20" hidden="1">#REF!</definedName>
    <definedName name="IQRSPP3T20" hidden="1">#REF!</definedName>
    <definedName name="IQRSPP3U20" hidden="1">#REF!</definedName>
    <definedName name="IQRSPP3V20" hidden="1">#REF!</definedName>
    <definedName name="IQRSPP4AA20" hidden="1">#REF!</definedName>
    <definedName name="IQRSPP4B20" hidden="1">#REF!</definedName>
    <definedName name="IQRSPP4C20" hidden="1">#REF!</definedName>
    <definedName name="IQRSPP4E20" hidden="1">#REF!</definedName>
    <definedName name="IQRSPP4F20" hidden="1">#REF!</definedName>
    <definedName name="IQRSPP4H20" hidden="1">#REF!</definedName>
    <definedName name="IQRSPP4I20" hidden="1">#REF!</definedName>
    <definedName name="IQRSPP4K20" hidden="1">#REF!</definedName>
    <definedName name="IQRSPP4L20" hidden="1">#REF!</definedName>
    <definedName name="IQRSPP4U20" hidden="1">#REF!</definedName>
    <definedName name="IQRSPP4V20" hidden="1">#REF!</definedName>
    <definedName name="IQRSPP4X20" hidden="1">#REF!</definedName>
    <definedName name="IQRSPP4Y20" hidden="1">#REF!</definedName>
    <definedName name="IQRSPP4Z20" hidden="1">#REF!</definedName>
    <definedName name="IQRSPP5AE20" hidden="1">#REF!</definedName>
    <definedName name="IQRSPP5AF20" hidden="1">#REF!</definedName>
    <definedName name="IQRSPP5B20" hidden="1">#REF!</definedName>
    <definedName name="IQRSPP5C20" hidden="1">#REF!</definedName>
    <definedName name="IQRSPP5E20" hidden="1">#REF!</definedName>
    <definedName name="IQRSPP5F20" hidden="1">#REF!</definedName>
    <definedName name="IQRSPP5H20" hidden="1">#REF!</definedName>
    <definedName name="IQRSPP5I20" hidden="1">#REF!</definedName>
    <definedName name="IQRSPP5K20" hidden="1">#REF!</definedName>
    <definedName name="IQRSPP5L20" hidden="1">#REF!</definedName>
    <definedName name="IQRSPP5N20" hidden="1">#REF!</definedName>
    <definedName name="IQRSPP5O20" hidden="1">#REF!</definedName>
    <definedName name="IQRSPPAA20" hidden="1">#REF!</definedName>
    <definedName name="IQRSPPAA23" hidden="1">#REF!</definedName>
    <definedName name="IQRSPPAA36" hidden="1">#REF!</definedName>
    <definedName name="IQRSPPAA38" hidden="1">#REF!</definedName>
    <definedName name="IQRSPPAB38" hidden="1">#REF!</definedName>
    <definedName name="IQRSPPAC20" hidden="1">#REF!</definedName>
    <definedName name="IQRSPPAC23" hidden="1">#REF!</definedName>
    <definedName name="IQRSPPAC36" hidden="1">#REF!</definedName>
    <definedName name="IQRSPPAC38" hidden="1">#REF!</definedName>
    <definedName name="IQRSPPAD20" hidden="1">#REF!</definedName>
    <definedName name="IQRSPPAD23" hidden="1">#REF!</definedName>
    <definedName name="IQRSPPAD36" hidden="1">#REF!</definedName>
    <definedName name="IQRSPPAD38" hidden="1">#REF!</definedName>
    <definedName name="IQRSPPAE38" hidden="1">#REF!</definedName>
    <definedName name="IQRSPPAF20" hidden="1">#REF!</definedName>
    <definedName name="IQRSPPAF23" hidden="1">#REF!</definedName>
    <definedName name="IQRSPPAF31" hidden="1">#REF!</definedName>
    <definedName name="IQRSPPAF36" hidden="1">#REF!</definedName>
    <definedName name="IQRSPPAF38" hidden="1">#REF!</definedName>
    <definedName name="IQRSPPAG20" hidden="1">#REF!</definedName>
    <definedName name="IQRSPPAG23" hidden="1">#REF!</definedName>
    <definedName name="IQRSPPAG31" hidden="1">#REF!</definedName>
    <definedName name="IQRSPPAG36" hidden="1">#REF!</definedName>
    <definedName name="IQRSPPAH31" hidden="1">#REF!</definedName>
    <definedName name="IQRSPPAH38" hidden="1">#REF!</definedName>
    <definedName name="IQRSPPAI20" hidden="1">#REF!</definedName>
    <definedName name="IQRSPPAI23" hidden="1">#REF!</definedName>
    <definedName name="IQRSPPAI31" hidden="1">#REF!</definedName>
    <definedName name="IQRSPPAI36" hidden="1">#REF!</definedName>
    <definedName name="IQRSPPAI38" hidden="1">#REF!</definedName>
    <definedName name="IQRSPPAJ20" hidden="1">#REF!</definedName>
    <definedName name="IQRSPPAJ23" hidden="1">#REF!</definedName>
    <definedName name="IQRSPPAJ31" hidden="1">#REF!</definedName>
    <definedName name="IQRSPPAJ36" hidden="1">#REF!</definedName>
    <definedName name="IQRSPPAK38" hidden="1">#REF!</definedName>
    <definedName name="IQRSPPAL20" hidden="1">#REF!</definedName>
    <definedName name="IQRSPPAL23" hidden="1">#REF!</definedName>
    <definedName name="IQRSPPAL36" hidden="1">#REF!</definedName>
    <definedName name="IQRSPPAL38" hidden="1">#REF!</definedName>
    <definedName name="IQRSPPAM20" hidden="1">#REF!</definedName>
    <definedName name="IQRSPPAM23" hidden="1">#REF!</definedName>
    <definedName name="IQRSPPAM36" hidden="1">#REF!</definedName>
    <definedName name="IQRSPPAN38" hidden="1">#REF!</definedName>
    <definedName name="IQRSPPAO20" hidden="1">#REF!</definedName>
    <definedName name="IQRSPPAO23" hidden="1">#REF!</definedName>
    <definedName name="IQRSPPAO36" hidden="1">#REF!</definedName>
    <definedName name="IQRSPPAO38" hidden="1">#REF!</definedName>
    <definedName name="IQRSPPAP20" hidden="1">#REF!</definedName>
    <definedName name="IQRSPPAP23" hidden="1">#REF!</definedName>
    <definedName name="IQRSPPAP36" hidden="1">#REF!</definedName>
    <definedName name="IQRSPPAQ36" hidden="1">#REF!</definedName>
    <definedName name="IQRSPPAQ38" hidden="1">#REF!</definedName>
    <definedName name="IQRSPPAR38" hidden="1">#REF!</definedName>
    <definedName name="IQRSPPB20" hidden="1">#REF!</definedName>
    <definedName name="IQRSPPB23" hidden="1">#REF!</definedName>
    <definedName name="IQRSPPB36" hidden="1">#REF!</definedName>
    <definedName name="IQRSPPB38" hidden="1">#REF!</definedName>
    <definedName name="IQRSPPBM20" hidden="1">#REF!</definedName>
    <definedName name="IQRSPPBN20" hidden="1">#REF!</definedName>
    <definedName name="IQRSPPBO20" hidden="1">#REF!</definedName>
    <definedName name="IQRSPPBP20" hidden="1">#REF!</definedName>
    <definedName name="IQRSPPBQ20" hidden="1">#REF!</definedName>
    <definedName name="IQRSPPBR20" hidden="1">#REF!</definedName>
    <definedName name="IQRSPPBS20" hidden="1">#REF!</definedName>
    <definedName name="IQRSPPBT20" hidden="1">#REF!</definedName>
    <definedName name="IQRSPPBZ20" hidden="1">#REF!</definedName>
    <definedName name="IQRSPPBZ41" hidden="1">#REF!</definedName>
    <definedName name="IQRSPPC20" hidden="1">#REF!</definedName>
    <definedName name="IQRSPPC23" hidden="1">#REF!</definedName>
    <definedName name="IQRSPPC36" hidden="1">#REF!</definedName>
    <definedName name="IQRSPPC38" hidden="1">#REF!</definedName>
    <definedName name="IQRSPPCA20" hidden="1">#REF!</definedName>
    <definedName name="IQRSPPCA41" hidden="1">#REF!</definedName>
    <definedName name="IQRSPPCC41" hidden="1">#REF!</definedName>
    <definedName name="IQRSPPCD41" hidden="1">#REF!</definedName>
    <definedName name="IQRSPPCF41" hidden="1">#REF!</definedName>
    <definedName name="IQRSPPCG41" hidden="1">#REF!</definedName>
    <definedName name="IQRSPPCI41" hidden="1">#REF!</definedName>
    <definedName name="IQRSPPCJ41" hidden="1">#REF!</definedName>
    <definedName name="IQRSPPD38" hidden="1">#REF!</definedName>
    <definedName name="IQRSPPE20" hidden="1">#REF!</definedName>
    <definedName name="IQRSPPE23" hidden="1">#REF!</definedName>
    <definedName name="IQRSPPE36" hidden="1">#REF!</definedName>
    <definedName name="IQRSPPE38" hidden="1">#REF!</definedName>
    <definedName name="IQRSPPF20" hidden="1">#REF!</definedName>
    <definedName name="IQRSPPF23" hidden="1">#REF!</definedName>
    <definedName name="IQRSPPF36" hidden="1">#REF!</definedName>
    <definedName name="IQRSPPF38" hidden="1">#REF!</definedName>
    <definedName name="IQRSPPG36" hidden="1">#REF!</definedName>
    <definedName name="IQRSPPG38" hidden="1">#REF!</definedName>
    <definedName name="IQRSPPH20" hidden="1">#REF!</definedName>
    <definedName name="IQRSPPH23" hidden="1">#REF!</definedName>
    <definedName name="IQRSPPH36" hidden="1">#REF!</definedName>
    <definedName name="IQRSPPH38" hidden="1">#REF!</definedName>
    <definedName name="IQRSPPI20" hidden="1">#REF!</definedName>
    <definedName name="IQRSPPI23" hidden="1">#REF!</definedName>
    <definedName name="IQRSPPI36" hidden="1">#REF!</definedName>
    <definedName name="IQRSPPI38" hidden="1">#REF!</definedName>
    <definedName name="IQRSPPJ38" hidden="1">#REF!</definedName>
    <definedName name="IQRSPPK20" hidden="1">#REF!</definedName>
    <definedName name="IQRSPPK23" hidden="1">#REF!</definedName>
    <definedName name="IQRSPPK36" hidden="1">#REF!</definedName>
    <definedName name="IQRSPPK38" hidden="1">#REF!</definedName>
    <definedName name="IQRSPPL20" hidden="1">#REF!</definedName>
    <definedName name="IQRSPPL23" hidden="1">#REF!</definedName>
    <definedName name="IQRSPPL36" hidden="1">#REF!</definedName>
    <definedName name="IQRSPPL38" hidden="1">#REF!</definedName>
    <definedName name="IQRSPPM38" hidden="1">#REF!</definedName>
    <definedName name="IQRSPPN20" hidden="1">#REF!</definedName>
    <definedName name="IQRSPPN23" hidden="1">#REF!</definedName>
    <definedName name="IQRSPPN36" hidden="1">#REF!</definedName>
    <definedName name="IQRSPPN38" hidden="1">#REF!</definedName>
    <definedName name="IQRSPPO20" hidden="1">#REF!</definedName>
    <definedName name="IQRSPPO23" hidden="1">#REF!</definedName>
    <definedName name="IQRSPPO36" hidden="1">#REF!</definedName>
    <definedName name="IQRSPPO38" hidden="1">#REF!</definedName>
    <definedName name="IQRSPPP38" hidden="1">#REF!</definedName>
    <definedName name="IQRSPPQ20" hidden="1">#REF!</definedName>
    <definedName name="IQRSPPQ23" hidden="1">#REF!</definedName>
    <definedName name="IQRSPPQ36" hidden="1">#REF!</definedName>
    <definedName name="IQRSPPQ38" hidden="1">#REF!</definedName>
    <definedName name="IQRSPPR20" hidden="1">#REF!</definedName>
    <definedName name="IQRSPPR23" hidden="1">#REF!</definedName>
    <definedName name="IQRSPPR36" hidden="1">#REF!</definedName>
    <definedName name="IQRSPPR38" hidden="1">#REF!</definedName>
    <definedName name="IQRSPPS38" hidden="1">#REF!</definedName>
    <definedName name="IQRSPPT20" hidden="1">#REF!</definedName>
    <definedName name="IQRSPPT23" hidden="1">#REF!</definedName>
    <definedName name="IQRSPPT36" hidden="1">#REF!</definedName>
    <definedName name="IQRSPPT38" hidden="1">#REF!</definedName>
    <definedName name="IQRSPPU20" hidden="1">#REF!</definedName>
    <definedName name="IQRSPPU23" hidden="1">#REF!</definedName>
    <definedName name="IQRSPPU36" hidden="1">#REF!</definedName>
    <definedName name="IQRSPPU38" hidden="1">#REF!</definedName>
    <definedName name="IQRSPPV38" hidden="1">#REF!</definedName>
    <definedName name="IQRSPPW20" hidden="1">#REF!</definedName>
    <definedName name="IQRSPPW23" hidden="1">#REF!</definedName>
    <definedName name="IQRSPPW36" hidden="1">#REF!</definedName>
    <definedName name="IQRSPPW38" hidden="1">#REF!</definedName>
    <definedName name="IQRSPPX20" hidden="1">#REF!</definedName>
    <definedName name="IQRSPPX23" hidden="1">#REF!</definedName>
    <definedName name="IQRSPPX36" hidden="1">#REF!</definedName>
    <definedName name="IQRSPPX38" hidden="1">#REF!</definedName>
    <definedName name="IQRSPPY38" hidden="1">#REF!</definedName>
    <definedName name="IQRSPPZ20" hidden="1">#REF!</definedName>
    <definedName name="IQRSPPZ23" hidden="1">#REF!</definedName>
    <definedName name="IQRSPPZ36" hidden="1">#REF!</definedName>
    <definedName name="IQRSPPZ38" hidden="1">#REF!</definedName>
    <definedName name="IQRT33" hidden="1">"$T$34:$T$275"</definedName>
    <definedName name="IQRT41" hidden="1">"$T$42:$T$544"</definedName>
    <definedName name="IQRTelecomSPPB41" hidden="1">#REF!</definedName>
    <definedName name="IQRTelecomSPPC41" hidden="1">#REF!</definedName>
    <definedName name="IQRTelecomSPPE41" hidden="1">#REF!</definedName>
    <definedName name="IQRTelecomSPPF41" hidden="1">#REF!</definedName>
    <definedName name="IQRTelecomSPPH41" hidden="1">#REF!</definedName>
    <definedName name="IQRTelecomSPPI41" hidden="1">#REF!</definedName>
    <definedName name="IQRTelecomSPPK41" hidden="1">#REF!</definedName>
    <definedName name="IQRTelecomSPPL41" hidden="1">#REF!</definedName>
    <definedName name="IQRTelecomSPPN41" hidden="1">#REF!</definedName>
    <definedName name="IQRTelecomSPPO41" hidden="1">#REF!</definedName>
    <definedName name="IQRTradingStatisticsAA52" hidden="1">#REF!</definedName>
    <definedName name="IQRTradingStatisticsAB52" hidden="1">#REF!</definedName>
    <definedName name="IQRTradingStatisticsJ52" hidden="1">#REF!</definedName>
    <definedName name="IQRTradingStatisticsK52" hidden="1">#REF!</definedName>
    <definedName name="IQRTradingStatisticsL52" hidden="1">#REF!</definedName>
    <definedName name="IQRTradingStatisticsN52" hidden="1">#REF!</definedName>
    <definedName name="IQRTradingStatisticsO52" hidden="1">#REF!</definedName>
    <definedName name="IQRTradingStatisticsP52" hidden="1">#REF!</definedName>
    <definedName name="IQRTradingStatisticsR52" hidden="1">#REF!</definedName>
    <definedName name="IQRTradingStatisticsS52" hidden="1">#REF!</definedName>
    <definedName name="IQRTradingStatisticsT52" hidden="1">#REF!</definedName>
    <definedName name="IQRTradingStatisticsV52" hidden="1">#REF!</definedName>
    <definedName name="IQRTradingStatisticsW52" hidden="1">#REF!</definedName>
    <definedName name="IQRTradingStatisticsX52" hidden="1">#REF!</definedName>
    <definedName name="IQRTradingStatisticsZ52" hidden="1">#REF!</definedName>
    <definedName name="IQRTradingStatsB88" hidden="1">#REF!</definedName>
    <definedName name="IQRTradingStatsF88" hidden="1">#REF!</definedName>
    <definedName name="IQRTradingStatsG88" hidden="1">#REF!</definedName>
    <definedName name="IQRTS22B52" hidden="1">#REF!</definedName>
    <definedName name="IQRTS22C52" hidden="1">#REF!</definedName>
    <definedName name="IQRTS22D52" hidden="1">#REF!</definedName>
    <definedName name="IQRTS22F52" hidden="1">#REF!</definedName>
    <definedName name="IQRTS22G52" hidden="1">#REF!</definedName>
    <definedName name="IQRTS22H52" hidden="1">#REF!</definedName>
    <definedName name="IQRTS32B52" hidden="1">#REF!</definedName>
    <definedName name="IQRTS32C52" hidden="1">#REF!</definedName>
    <definedName name="IQRTS32D52" hidden="1">#REF!</definedName>
    <definedName name="IQRTS32F52" hidden="1">#REF!</definedName>
    <definedName name="IQRTS32G52" hidden="1">#REF!</definedName>
    <definedName name="IQRTS32H52" hidden="1">#REF!</definedName>
    <definedName name="IQRTS32J52" hidden="1">#REF!</definedName>
    <definedName name="IQRTS32K52" hidden="1">#REF!</definedName>
    <definedName name="IQRTS32L52" hidden="1">#REF!</definedName>
    <definedName name="IQRTS3B52" hidden="1">#REF!</definedName>
    <definedName name="IQRTS3C52" hidden="1">#REF!</definedName>
    <definedName name="IQRTS3D52" hidden="1">#REF!</definedName>
    <definedName name="IQRTS3F52" hidden="1">#REF!</definedName>
    <definedName name="IQRTS3G52" hidden="1">#REF!</definedName>
    <definedName name="IQRTS3H52" hidden="1">#REF!</definedName>
    <definedName name="IQRTS3J52" hidden="1">#REF!</definedName>
    <definedName name="IQRTS3K52" hidden="1">#REF!</definedName>
    <definedName name="IQRTS3L52" hidden="1">#REF!</definedName>
    <definedName name="IQRTS4B52" hidden="1">#REF!</definedName>
    <definedName name="IQRTS4C52" hidden="1">#REF!</definedName>
    <definedName name="IQRTS4D52" hidden="1">#REF!</definedName>
    <definedName name="IQRTS4F52" hidden="1">#REF!</definedName>
    <definedName name="IQRTS4G52" hidden="1">#REF!</definedName>
    <definedName name="IQRTS4H52" hidden="1">#REF!</definedName>
    <definedName name="IQRTS4J52" hidden="1">#REF!</definedName>
    <definedName name="IQRTS4K52" hidden="1">#REF!</definedName>
    <definedName name="IQRTS4L52" hidden="1">#REF!</definedName>
    <definedName name="IQRTS4N52" hidden="1">#REF!</definedName>
    <definedName name="IQRTS4O52" hidden="1">#REF!</definedName>
    <definedName name="IQRTS4P52" hidden="1">#REF!</definedName>
    <definedName name="IQRU33" hidden="1">"$U$34:$U$2172"</definedName>
    <definedName name="IQRU41" hidden="1">"$U$42:$U$544"</definedName>
    <definedName name="IQRW33" hidden="1">"$W$34:$W$2138"</definedName>
    <definedName name="IQRW41" hidden="1">"$W$42:$W$266"</definedName>
    <definedName name="IQRX33" hidden="1">"$X$34:$X$2192"</definedName>
    <definedName name="IQRX41" hidden="1">"$X$42:$X$266"</definedName>
    <definedName name="IQRY33" hidden="1">"$Y$34:$Y$2192"</definedName>
    <definedName name="IQRZ33" hidden="1">"$Z$34:$Z$2208"</definedName>
    <definedName name="IQRZ41" hidden="1">"$Z$42"</definedName>
    <definedName name="iQShowHideColumns" hidden="1">"iQShowAll"</definedName>
    <definedName name="IR">#REF!</definedName>
    <definedName name="IRPJ">#REF!</definedName>
    <definedName name="IRRF">#REF!</definedName>
    <definedName name="IS">#REF!</definedName>
    <definedName name="IsColHidden" hidden="1">FALSE</definedName>
    <definedName name="IsLTMColHidden" hidden="1">FALSE</definedName>
    <definedName name="ITC">#REF!</definedName>
    <definedName name="Items">#N/A</definedName>
    <definedName name="Items_Iluminación">#REF!</definedName>
    <definedName name="Items_Iluminación2">#REF!</definedName>
    <definedName name="Itens">#REF!</definedName>
    <definedName name="iu">#REF!</definedName>
    <definedName name="iui" hidden="1">#REF!</definedName>
    <definedName name="IVA">#REF!</definedName>
    <definedName name="iva_esp">#REF!</definedName>
    <definedName name="ixa">#REF!</definedName>
    <definedName name="ja">#REF!</definedName>
    <definedName name="jad" hidden="1">{#N/A,"30% Success",TRUE,"Sales Forecast";#N/A,#N/A,TRUE,"Sheet2"}</definedName>
    <definedName name="Janeiro">#REF!</definedName>
    <definedName name="janete">#REF!</definedName>
    <definedName name="Jefe_de_Plaza">#REF!</definedName>
    <definedName name="JefesdeTurno">#REF!</definedName>
    <definedName name="jfgkj">#REF!</definedName>
    <definedName name="jfh" hidden="1">#REF!</definedName>
    <definedName name="jfjhg">#REF!</definedName>
    <definedName name="jhfjfg">#REF!</definedName>
    <definedName name="jhgf">#REF!</definedName>
    <definedName name="jij">#REF!</definedName>
    <definedName name="jj" hidden="1">#N/A</definedName>
    <definedName name="jjj">#REF!</definedName>
    <definedName name="JJJJ">#REF!</definedName>
    <definedName name="jkhb">#REF!</definedName>
    <definedName name="JKKLLL">#REF!</definedName>
    <definedName name="jkwkw">#REF!</definedName>
    <definedName name="joaquim" hidden="1">{#N/A,"100% Success",TRUE,"Sales Forecast";#N/A,#N/A,TRUE,"Sheet2"}</definedName>
    <definedName name="jojo">#REF!</definedName>
    <definedName name="juros">#REF!</definedName>
    <definedName name="Juros_acumulados_antes_do_pagamento1">#REF!</definedName>
    <definedName name="JUROSE">#REF!</definedName>
    <definedName name="JUROSS">#REF!</definedName>
    <definedName name="Justif">#REF!</definedName>
    <definedName name="jytjrt">#REF!</definedName>
    <definedName name="k">#REF!</definedName>
    <definedName name="kadopasodkk">#REF!</definedName>
    <definedName name="KDFJA">#REF!</definedName>
    <definedName name="kdid">#REF!</definedName>
    <definedName name="kfv">#REF!</definedName>
    <definedName name="kgjkg" hidden="1">#REF!</definedName>
    <definedName name="kjn">#REF!</definedName>
    <definedName name="kk" hidden="1">#REF!</definedName>
    <definedName name="KK.">#REF!</definedName>
    <definedName name="kkhdshgoiugtoiheg" hidden="1">{"'RR'!$A$2:$E$81"}</definedName>
    <definedName name="kkkkk">#REF!</definedName>
    <definedName name="kkkkks">#REF!</definedName>
    <definedName name="klebery" hidden="1">#REF!</definedName>
    <definedName name="KLTLT0">#REF!</definedName>
    <definedName name="ks" hidden="1">#REF!</definedName>
    <definedName name="KTKT05">#REF!</definedName>
    <definedName name="larissa">#REF!</definedName>
    <definedName name="Lebes_Cobranças_2019">#REF!</definedName>
    <definedName name="Lebes_Cobranças_2020">#REF!</definedName>
    <definedName name="LEIVLAJA" hidden="1">{#N/A,#N/A,TRUE,"DIVIDER PAGE";#N/A,#N/A,TRUE,"Exist + Reg A IS";#N/A,#N/A,TRUE,"Summary IS exc. B";#N/A,#N/A,TRUE,"New Stores";#N/A,#N/A,TRUE,"Existing DCF";#N/A,#N/A,TRUE,"Region A DCF";#N/A,#N/A,TRUE,"Existing + Reg. A DCF"}</definedName>
    <definedName name="LEIVLAJA_1" hidden="1">{#N/A,#N/A,TRUE,"DIVIDER PAGE";#N/A,#N/A,TRUE,"Exist + Reg A IS";#N/A,#N/A,TRUE,"Summary IS exc. B";#N/A,#N/A,TRUE,"New Stores";#N/A,#N/A,TRUE,"Existing DCF";#N/A,#N/A,TRUE,"Region A DCF";#N/A,#N/A,TRUE,"Existing + Reg. A DCF"}</definedName>
    <definedName name="Leonardo">#REF!</definedName>
    <definedName name="Level_of_Assurance">#REF!</definedName>
    <definedName name="Li">#REF!</definedName>
    <definedName name="limcount" hidden="1">1</definedName>
    <definedName name="LIN">#REF!</definedName>
    <definedName name="List_AR_Population">#REF!</definedName>
    <definedName name="List_ARPopulation">#REF!</definedName>
    <definedName name="List_Curr">#REF!</definedName>
    <definedName name="List_ExpandedTesting">#REF!</definedName>
    <definedName name="List_Level_Assr">#REF!</definedName>
    <definedName name="List_LevelAssurance">#REF!</definedName>
    <definedName name="List_Number_of_Exceptions_Identified">#REF!</definedName>
    <definedName name="List_NumberTolerableExceptions">#REF!</definedName>
    <definedName name="List_Proj_Meth">#REF!</definedName>
    <definedName name="List_Samp_Sel">#REF!</definedName>
    <definedName name="List_SampleSelectionMethod">#REF!</definedName>
    <definedName name="Lista">#REF!</definedName>
    <definedName name="Lista_RespIndicador">#REF!</definedName>
    <definedName name="ljjh">#REF!</definedName>
    <definedName name="lk">#REF!</definedName>
    <definedName name="lkcnemc">#REF!</definedName>
    <definedName name="ll">#REF!</definedName>
    <definedName name="lll">#REF!</definedName>
    <definedName name="llll" hidden="1">#REF!</definedName>
    <definedName name="lllllllllllll" hidden="1">#REF!</definedName>
    <definedName name="lllllllllllllllllllllllllllllllllllllllll" hidden="1">#REF!</definedName>
    <definedName name="LON">#REF!</definedName>
    <definedName name="LOTE_01_330">#REF!</definedName>
    <definedName name="LOTE_01_348">#REF!</definedName>
    <definedName name="LOTE_03_323">#REF!</definedName>
    <definedName name="LOTE_05_322">#REF!</definedName>
    <definedName name="LOTE_08_225">#REF!</definedName>
    <definedName name="LOTE_09_0">#REF!</definedName>
    <definedName name="LOTE_09_310">#REF!</definedName>
    <definedName name="LOTE_10_255">#REF!</definedName>
    <definedName name="LOTE_10_318">#REF!</definedName>
    <definedName name="LOTE_10_330">#REF!</definedName>
    <definedName name="LOTE_10_334">#REF!</definedName>
    <definedName name="LOTE_10_345">#REF!</definedName>
    <definedName name="LOTE_11_215">#REF!</definedName>
    <definedName name="LOTE_11_340">#REF!</definedName>
    <definedName name="LOTE_11_342">#REF!</definedName>
    <definedName name="LOTE_11_344">#REF!</definedName>
    <definedName name="LOTE_11_350">#REF!</definedName>
    <definedName name="LRLRO">#REF!</definedName>
    <definedName name="LUCRO_EXPLORAÇÃO">#REF!</definedName>
    <definedName name="LUCRO_INFLACIONÁRIO">#REF!</definedName>
    <definedName name="LUCRO_REAL">#REF!</definedName>
    <definedName name="m">#REF!</definedName>
    <definedName name="M_UCP">#REF!</definedName>
    <definedName name="MAIM">#REF!</definedName>
    <definedName name="MaisFruta">#REF!</definedName>
    <definedName name="MaisItem">#REF!</definedName>
    <definedName name="MaisItens">#REF!</definedName>
    <definedName name="mar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arc" hidden="1">#REF!</definedName>
    <definedName name="market" hidden="1">{#N/A,"70% Success",FALSE,"Sales Forecast";#N/A,#N/A,FALSE,"Sheet2"}</definedName>
    <definedName name="meoi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S">#REF!</definedName>
    <definedName name="Mês">#REF!</definedName>
    <definedName name="mes_escolha">#REF!</definedName>
    <definedName name="meses">#REF!</definedName>
    <definedName name="Meta" hidden="1">{"'RR'!$A$2:$E$81"}</definedName>
    <definedName name="meta1" hidden="1">{"'RR'!$A$2:$E$81"}</definedName>
    <definedName name="metalur">#REF!</definedName>
    <definedName name="MEWarning" hidden="1">1</definedName>
    <definedName name="million">#REF!</definedName>
    <definedName name="min">#REF!</definedName>
    <definedName name="mm">#REF!</definedName>
    <definedName name="mmm">#REF!</definedName>
    <definedName name="mmmmm">#REF!</definedName>
    <definedName name="mmmmmmmm" hidden="1">{"'Sheet1'!$A$1:$G$85"}</definedName>
    <definedName name="mmmmmmmmmmmmmmmmmmmmmmmmmm" hidden="1">{"'Sheet1'!$A$1:$G$85"}</definedName>
    <definedName name="mmreeee" hidden="1">#REF!</definedName>
    <definedName name="moneda">#REF!</definedName>
    <definedName name="Monthly">#REF!</definedName>
    <definedName name="Months_Financing">#REF!</definedName>
    <definedName name="MULA">#REF!</definedName>
    <definedName name="N" hidden="1">#REF!</definedName>
    <definedName name="n_1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narina" hidden="1">{"'RR'!$A$2:$E$81"}</definedName>
    <definedName name="NAT">#REF!</definedName>
    <definedName name="NATR">#REF!</definedName>
    <definedName name="nbgtiutfjhv" hidden="1">{"'RR'!$A$2:$E$81"}</definedName>
    <definedName name="nei" hidden="1">#REF!</definedName>
    <definedName name="NETO">#REF!</definedName>
    <definedName name="NE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wname">#REF!</definedName>
    <definedName name="nnn">#REF!</definedName>
    <definedName name="nnnn" hidden="1">{"'RR'!$A$2:$E$81"}</definedName>
    <definedName name="NO">#REF!</definedName>
    <definedName name="Nomes">#REF!</definedName>
    <definedName name="NomRevBDdiff">#REF!</definedName>
    <definedName name="NomRevBDTarget">#REF!</definedName>
    <definedName name="NomRevBDTot">#REF!</definedName>
    <definedName name="NomRevDiff">#REF!</definedName>
    <definedName name="NomRevTarget">#REF!</definedName>
    <definedName name="NomRevTot">#REF!</definedName>
    <definedName name="Nov" hidden="1">{"'Resumen'!$A$1:$P$25"}</definedName>
    <definedName name="nova" hidden="1">{#N/A,#N/A,FALSE,"BLDC";#N/A,#N/A,FALSE,"RESDC";#N/A,#N/A,FALSE,"BLFV";#N/A,#N/A,FALSE,"RESFV"}</definedName>
    <definedName name="Novcod">#REF!</definedName>
    <definedName name="novo" hidden="1">{#N/A,#N/A,FALSE,"Aging Summary";#N/A,#N/A,FALSE,"Ratio Analysis";#N/A,#N/A,FALSE,"Test 120 Day Accts";#N/A,#N/A,FALSE,"Tickmarks"}</definedName>
    <definedName name="Number_of_Exceptions_Identified">#REF!</definedName>
    <definedName name="Number_of_tolerable_exceptions">#REF!</definedName>
    <definedName name="o">#REF!</definedName>
    <definedName name="O.PUb.ant" hidden="1">{#N/A,#N/A,FALSE,"Principal";#N/A,#N/A,FALSE,"CostCap";#N/A,#N/A,FALSE,"CostOp";#N/A,#N/A,FALSE,"EvalFin";#N/A,#N/A,FALSE,"EvalFin2";#N/A,#N/A,FALSE,"Financ";#N/A,#N/A,FALSE,"GrafSensibilidad";#N/A,#N/A,FALSE,"EvalFinConcesión";#N/A,#N/A,FALSE,"EvalFinConcesión (2)";#N/A,#N/A,FALSE,"EvalFinConcesión (3)";#N/A,#N/A,FALSE,"Créditos"}</definedName>
    <definedName name="OBRA">#REF!</definedName>
    <definedName name="obras">#REF!</definedName>
    <definedName name="oeir">#REF!</definedName>
    <definedName name="oi">#REF!</definedName>
    <definedName name="oie" hidden="1">#REF!</definedName>
    <definedName name="OIIEEE" hidden="1">#REF!</definedName>
    <definedName name="ok" hidden="1">#REF!</definedName>
    <definedName name="OLE_LINK1">#REF!</definedName>
    <definedName name="olkvapka">#REF!</definedName>
    <definedName name="ooo" hidden="1">#REF!</definedName>
    <definedName name="opsMin">MIN(#REF!)</definedName>
    <definedName name="orc" hidden="1">#REF!</definedName>
    <definedName name="Orçamento" hidden="1">#REF!</definedName>
    <definedName name="oriri" hidden="1">{"'RR'!$A$2:$E$81"}</definedName>
    <definedName name="Overheads">#REF!</definedName>
    <definedName name="owow">#REF!</definedName>
    <definedName name="p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pacotes20032" hidden="1">{"'RR'!$A$2:$E$81"}</definedName>
    <definedName name="pag_bal">#REF!</definedName>
    <definedName name="pag_cm">#REF!</definedName>
    <definedName name="pag_detinv">#REF!</definedName>
    <definedName name="pag_gtosexpt">#REF!</definedName>
    <definedName name="pag_gtosind">#REF!</definedName>
    <definedName name="pag_pyg">#REF!</definedName>
    <definedName name="pag_seginv">#REF!</definedName>
    <definedName name="pag_segtrf_1">#REF!</definedName>
    <definedName name="pag_segtrf_2">#REF!</definedName>
    <definedName name="Pagamentos_por_ano">#REF!</definedName>
    <definedName name="Pagos_Anticipados">#REF!</definedName>
    <definedName name="PAGTOS">#REF!</definedName>
    <definedName name="parcial">#REF!</definedName>
    <definedName name="paso">#REF!</definedName>
    <definedName name="PASSO">#REF!</definedName>
    <definedName name="PAulo" hidden="1">#REF!</definedName>
    <definedName name="PCOR">#REF!</definedName>
    <definedName name="pcor2">#REF!</definedName>
    <definedName name="Pe_Insalubridade">#REF!</definedName>
    <definedName name="PEA">#REF!</definedName>
    <definedName name="peaje_1">#REF!</definedName>
    <definedName name="peaje_2">#REF!</definedName>
    <definedName name="peaje_3">#REF!</definedName>
    <definedName name="peaje_4">#REF!</definedName>
    <definedName name="peat">#REF!</definedName>
    <definedName name="pedro" hidden="1">{#N/A,"30% Success",TRUE,"Sales Forecast";#N/A,#N/A,TRUE,"Sheet2"}</definedName>
    <definedName name="PEH">#REF!</definedName>
    <definedName name="PER">#REF!</definedName>
    <definedName name="perdecomp2">#REF!</definedName>
    <definedName name="periodo">#REF!</definedName>
    <definedName name="Período_em_anos">#REF!</definedName>
    <definedName name="perro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PETER">#REF!</definedName>
    <definedName name="Pi">#REF!</definedName>
    <definedName name="PICO">#REF!</definedName>
    <definedName name="PJ">#REF!</definedName>
    <definedName name="PJJJJJJJJ">#REF!</definedName>
    <definedName name="PL1_1">#REF!</definedName>
    <definedName name="PL1_2">#REF!</definedName>
    <definedName name="PL1_3">#REF!</definedName>
    <definedName name="PL11_1">#REF!</definedName>
    <definedName name="PL11_2">#REF!</definedName>
    <definedName name="PL11_3">#REF!</definedName>
    <definedName name="PL11_4">#REF!</definedName>
    <definedName name="PL15_1">#REF!</definedName>
    <definedName name="PL15_2">#REF!</definedName>
    <definedName name="PL15_3">#REF!</definedName>
    <definedName name="PL16_1">#REF!</definedName>
    <definedName name="PL16_2">#REF!</definedName>
    <definedName name="PL17_1">#REF!</definedName>
    <definedName name="PL17_2">#REF!</definedName>
    <definedName name="PL17_3">#REF!</definedName>
    <definedName name="PL2_1">#REF!</definedName>
    <definedName name="PL2_2">#REF!</definedName>
    <definedName name="PL2_3">#REF!</definedName>
    <definedName name="PL20_1">#REF!</definedName>
    <definedName name="PL20_2">#REF!</definedName>
    <definedName name="PL20_3">#REF!</definedName>
    <definedName name="PL20_4">#REF!</definedName>
    <definedName name="PL20_5">#REF!</definedName>
    <definedName name="PL20_6">#REF!</definedName>
    <definedName name="PL21_1">#REF!</definedName>
    <definedName name="PL21_2">#REF!</definedName>
    <definedName name="PL3_1">#REF!</definedName>
    <definedName name="PL3_2">#REF!</definedName>
    <definedName name="PL3_3">#REF!</definedName>
    <definedName name="PL3_4">#REF!</definedName>
    <definedName name="PL3_5">#REF!</definedName>
    <definedName name="PL3_6">#REF!</definedName>
    <definedName name="PL43_1_A">#REF!</definedName>
    <definedName name="PL43_1_B">#REF!</definedName>
    <definedName name="PL43_2">#REF!</definedName>
    <definedName name="PL44_1_A">#REF!</definedName>
    <definedName name="PL44_1_B">#REF!</definedName>
    <definedName name="PL44_2">#REF!</definedName>
    <definedName name="PL45_A">#REF!</definedName>
    <definedName name="PL45_B">#REF!</definedName>
    <definedName name="PL50_1">#REF!</definedName>
    <definedName name="PL50_2">#REF!</definedName>
    <definedName name="PL50_3">#REF!</definedName>
    <definedName name="PL51_1">#REF!</definedName>
    <definedName name="PL51_2">#REF!</definedName>
    <definedName name="PL51_3">#REF!</definedName>
    <definedName name="PL53_A">#REF!</definedName>
    <definedName name="PL53_B">#REF!</definedName>
    <definedName name="Plan1">#REF!</definedName>
    <definedName name="planilha" hidden="1">{"'RR'!$A$2:$E$81"}</definedName>
    <definedName name="plaza">#REF!</definedName>
    <definedName name="PLCOR">#REF!</definedName>
    <definedName name="PN1_A">#REF!</definedName>
    <definedName name="PN1_B">#REF!</definedName>
    <definedName name="PN1_C">#REF!</definedName>
    <definedName name="PN2_A">#REF!</definedName>
    <definedName name="PN2_B">#REF!</definedName>
    <definedName name="PNA">#REF!</definedName>
    <definedName name="PNH">#REF!</definedName>
    <definedName name="PNR">#REF!</definedName>
    <definedName name="po">#REF!</definedName>
    <definedName name="POIU">#REF!</definedName>
    <definedName name="Ponderador">#REF!</definedName>
    <definedName name="Ponderador_2">#REF!</definedName>
    <definedName name="Population">#REF!</definedName>
    <definedName name="Population_AR">#REF!</definedName>
    <definedName name="Porct_Amort">#REF!</definedName>
    <definedName name="PORT">#REF!</definedName>
    <definedName name="PPART">#REF!</definedName>
    <definedName name="PPYMES">#REF!</definedName>
    <definedName name="ppymes2">#REF!</definedName>
    <definedName name="pqowoeiiur">#REF!</definedName>
    <definedName name="pqwoeiiur">#REF!</definedName>
    <definedName name="Prazo_Construção">#REF!</definedName>
    <definedName name="PRECIO_TOTAL">#REF!</definedName>
    <definedName name="Premissas" hidden="1">{"summary1",#N/A,TRUE,"Comps";"summary2",#N/A,TRUE,"Comps";"summary3",#N/A,TRUE,"Comps"}</definedName>
    <definedName name="PREST">#REF!</definedName>
    <definedName name="prestacao">#REF!</definedName>
    <definedName name="preup_ib">#N/A</definedName>
    <definedName name="pri">#REF!</definedName>
    <definedName name="_xlnm.Print_Area">#REF!</definedName>
    <definedName name="Print_Area_MI">#REF!</definedName>
    <definedName name="Print_Range">#REF!</definedName>
    <definedName name="_xlnm.Print_Titles">#REF!</definedName>
    <definedName name="Print_Titles_MI">#REF!</definedName>
    <definedName name="print_titles2">#REF!</definedName>
    <definedName name="print2">#REF!</definedName>
    <definedName name="Prioridade">#REF!</definedName>
    <definedName name="priscila" hidden="1">{#N/A,#N/A,FALSE,"Aging Summary";#N/A,#N/A,FALSE,"Ratio Analysis";#N/A,#N/A,FALSE,"Test 120 Day Accts";#N/A,#N/A,FALSE,"Tickmarks"}</definedName>
    <definedName name="ProdAComl">#REF!</definedName>
    <definedName name="ProdCorpo">#REF!</definedName>
    <definedName name="prodcorpo2">#REF!</definedName>
    <definedName name="ProdGEmpr">#REF!</definedName>
    <definedName name="prodgempr2">#REF!</definedName>
    <definedName name="ProdPart">#REF!</definedName>
    <definedName name="prodpart2">#REF!</definedName>
    <definedName name="ProdPymes">#REF!</definedName>
    <definedName name="prodpymes2">#REF!</definedName>
    <definedName name="ProdRede">#REF!</definedName>
    <definedName name="ProdTotalVar">#REF!</definedName>
    <definedName name="Produ">#REF!</definedName>
    <definedName name="progr1a">#REF!</definedName>
    <definedName name="PROGRAMA">#REF!</definedName>
    <definedName name="Project">#REF!</definedName>
    <definedName name="Proposta">#REF!</definedName>
    <definedName name="PropostasAnalítico">#REF!</definedName>
    <definedName name="proy">#REF!</definedName>
    <definedName name="prsMin">MIN(#REF!)</definedName>
    <definedName name="prueba">#REF!</definedName>
    <definedName name="Psubsidio">#REF!</definedName>
    <definedName name="PU">#REF!</definedName>
    <definedName name="Puente">#REF!</definedName>
    <definedName name="PVAR">#REF!</definedName>
    <definedName name="pwqoie">#REF!</definedName>
    <definedName name="q">#REF!</definedName>
    <definedName name="Q4FGVAVCGQ3Q34G" hidden="1">#REF!</definedName>
    <definedName name="QAE">#REF!</definedName>
    <definedName name="qfqsfd">#REF!</definedName>
    <definedName name="qqwwwee" hidden="1">#REF!</definedName>
    <definedName name="qw">#REF!</definedName>
    <definedName name="qwe" hidden="1">#REF!</definedName>
    <definedName name="QWEFEQWRQDASDFAFQWE" hidden="1">#REF!</definedName>
    <definedName name="rafa">#REF!</definedName>
    <definedName name="RangeChange" hidden="1">#N/A</definedName>
    <definedName name="RAO">#REF!</definedName>
    <definedName name="rao_man">#REF!</definedName>
    <definedName name="RAO_ORÇ">#REF!</definedName>
    <definedName name="RCOR">#REF!</definedName>
    <definedName name="rcor2">#REF!</definedName>
    <definedName name="RCSD_mínimo_div">#REF!</definedName>
    <definedName name="re">#REF!</definedName>
    <definedName name="Reajuste" hidden="1">#REF!</definedName>
    <definedName name="Rec">#REF!</definedName>
    <definedName name="recenue">#REF!</definedName>
    <definedName name="redo">#REF!</definedName>
    <definedName name="refinanciacion">#REF!</definedName>
    <definedName name="REG">#REF!</definedName>
    <definedName name="Região">#REF!</definedName>
    <definedName name="REGIND">#REF!</definedName>
    <definedName name="renovacao">#REF!</definedName>
    <definedName name="repago">#REF!</definedName>
    <definedName name="Report_Annual" hidden="1">{"annual",#N/A,FALSE,"MAS";"margins",#N/A,FALSE,"MAS";"Q",#N/A,FALSE,"Qtrs."}</definedName>
    <definedName name="res" hidden="1">#REF!</definedName>
    <definedName name="ResultAComl">#REF!</definedName>
    <definedName name="ResultCorpo">#REF!</definedName>
    <definedName name="resultcorpo2">#REF!</definedName>
    <definedName name="ResultGEmp">#REF!</definedName>
    <definedName name="ResultPart">#REF!</definedName>
    <definedName name="ResultPymes">#REF!</definedName>
    <definedName name="ResultRede">#REF!</definedName>
    <definedName name="ResultTotalVar">#REF!</definedName>
    <definedName name="resumen" hidden="1">{#N/A,#N/A,FALSE,"Aging Summary";#N/A,#N/A,FALSE,"Ratio Analysis";#N/A,#N/A,FALSE,"Test 120 Day Accts";#N/A,#N/A,FALSE,"Tickmarks"}</definedName>
    <definedName name="Resumo">#REF!</definedName>
    <definedName name="ResumoPropostas">#REF!</definedName>
    <definedName name="ResumoRxO">#REF!</definedName>
    <definedName name="ResumoRxOAno">#REF!</definedName>
    <definedName name="ResumoRxOMesMes">#REF!</definedName>
    <definedName name="Retencao">#REF!</definedName>
    <definedName name="rf">#REF!</definedName>
    <definedName name="rfrfr">#REF!</definedName>
    <definedName name="rgewafg" hidden="1">{"'RR'!$A$2:$E$81"}</definedName>
    <definedName name="rha" hidden="1">{"'Sheet1'!$A$1:$G$85"}</definedName>
    <definedName name="ricardo">#REF!</definedName>
    <definedName name="ricardo1">#REF!</definedName>
    <definedName name="rj">#REF!</definedName>
    <definedName name="RKLRK50">#REF!</definedName>
    <definedName name="RKRO0">#REF!</definedName>
    <definedName name="RLCOR">#REF!</definedName>
    <definedName name="RMG" hidden="1">{"'RR'!$A$2:$E$81"}</definedName>
    <definedName name="rngDividends">#REF!</definedName>
    <definedName name="rngEquity">#REF!</definedName>
    <definedName name="rngEquityOpen">#REF!</definedName>
    <definedName name="rngFinancials">#REF!</definedName>
    <definedName name="rngNetIncome">#REF!</definedName>
    <definedName name="rngSelDecimal">#REF!</definedName>
    <definedName name="rngSelDenom">#REF!</definedName>
    <definedName name="rngShareCapital">#REF!</definedName>
    <definedName name="rngShareCapitalBs">#REF!</definedName>
    <definedName name="rngShareLoan">#REF!</definedName>
    <definedName name="rngShareLoanDraw">#REF!</definedName>
    <definedName name="rngShareLoanExp">#REF!</definedName>
    <definedName name="rngShareLoanInterestExpense">#REF!</definedName>
    <definedName name="rngShareLoanInterestPaid">#REF!</definedName>
    <definedName name="rngShareLoanOpen">#REF!</definedName>
    <definedName name="rngShareLoanRepayment">#REF!</definedName>
    <definedName name="rngSharePremium">#REF!</definedName>
    <definedName name="rp1a">#REF!</definedName>
    <definedName name="rp2a">#REF!</definedName>
    <definedName name="rp6m">#REF!</definedName>
    <definedName name="RPART">#REF!</definedName>
    <definedName name="rpspot">#REF!</definedName>
    <definedName name="RPT">#REF!</definedName>
    <definedName name="rpt_man">#REF!</definedName>
    <definedName name="RPT_ORÇ">#REF!</definedName>
    <definedName name="RPYMES">#REF!</definedName>
    <definedName name="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rrrrrrrrrrrrrrrrrrrrrrrrrrrrrrrrrrrrrrrrrrrrrrrrrrrr" hidden="1">#REF!</definedName>
    <definedName name="rt">#REF!</definedName>
    <definedName name="Rubens" hidden="1">{"'Sheet1'!$A$1:$G$85"}</definedName>
    <definedName name="ruut">#REF!</definedName>
    <definedName name="RVAR">#REF!</definedName>
    <definedName name="RWER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s" hidden="1">#N/A</definedName>
    <definedName name="S_AcctDes">#REF!</definedName>
    <definedName name="S_Adjust">#REF!</definedName>
    <definedName name="S_Adjust_GT">#REF!</definedName>
    <definedName name="S_AJE_Tot">#REF!</definedName>
    <definedName name="S_AJE_Tot_GT">#REF!</definedName>
    <definedName name="S_CompNum">#REF!</definedName>
    <definedName name="S_CY_Beg">#REF!</definedName>
    <definedName name="S_CY_Beg_GT">#REF!</definedName>
    <definedName name="S_CY_End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GT">#REF!</definedName>
    <definedName name="S_RowNum">#REF!</definedName>
    <definedName name="sa_1">#REF!</definedName>
    <definedName name="SAASDFADSF" hidden="1">{"'Sheet1'!$A$1:$G$85"}</definedName>
    <definedName name="SACD">#REF!</definedName>
    <definedName name="SACI">#REF!</definedName>
    <definedName name="sadF" hidden="1">{"summary1",#N/A,TRUE,"Comps";"summary2",#N/A,TRUE,"Comps";"summary3",#N/A,TRUE,"Comps"}</definedName>
    <definedName name="Saldos">#REF!</definedName>
    <definedName name="Saldos_">#REF!</definedName>
    <definedName name="Samp_TM_Exp_Diff">#REF!</definedName>
    <definedName name="Santander">#REF!</definedName>
    <definedName name="SAPBEXhrIndnt" hidden="1">1</definedName>
    <definedName name="SAPBEXrevision" hidden="1">18</definedName>
    <definedName name="SAPBEXsysID" hidden="1">"B1P"</definedName>
    <definedName name="SAPBEXwbID" hidden="1">"4ZUOE77O1HF840EF45K3PLCV5"</definedName>
    <definedName name="SAPFuncF4Help" hidden="1">#N/A</definedName>
    <definedName name="sas" hidden="1">"AS2DocumentBrowse"</definedName>
    <definedName name="SASFA" hidden="1">#REF!</definedName>
    <definedName name="sassss" hidden="1">{"'Sheet1'!$A$1:$G$85"}</definedName>
    <definedName name="sbenini" hidden="1">{#N/A,#N/A,FALSE,"Plan1";#N/A,#N/A,FALSE,"Plan2"}</definedName>
    <definedName name="SBG">#REF!</definedName>
    <definedName name="sc">#REF!</definedName>
    <definedName name="scenario">#REF!</definedName>
    <definedName name="SCOR">#REF!</definedName>
    <definedName name="SD" hidden="1">#REF!</definedName>
    <definedName name="SDCD">#REF!</definedName>
    <definedName name="sdf" hidden="1">#REF!</definedName>
    <definedName name="sdfc" hidden="1">{"'PXR_6500'!$A$1:$I$124"}</definedName>
    <definedName name="sdfdsf" hidden="1">{"Deuda bancaria",#N/A,FALSE,"Créditos bancarios";"GMAC",#N/A,FALSE,"Créditos bancarios"}</definedName>
    <definedName name="sdghsdgsd" hidden="1">{"'RR'!$A$2:$E$81"}</definedName>
    <definedName name="sdsdsdsdsdsd" hidden="1">{#N/A,#N/A,FALSE,"Aging Summary";#N/A,#N/A,FALSE,"Ratio Analysis";#N/A,#N/A,FALSE,"Test 120 Day Accts";#N/A,#N/A,FALSE,"Tickmarks"}</definedName>
    <definedName name="sdsdvasdvjk">#REF!</definedName>
    <definedName name="se">#REF!</definedName>
    <definedName name="sectionNames">#REF!</definedName>
    <definedName name="sed">#REF!</definedName>
    <definedName name="seg">#REF!</definedName>
    <definedName name="Seguros">#REF!</definedName>
    <definedName name="SELIC">#REF!</definedName>
    <definedName name="Selic2">#REF!</definedName>
    <definedName name="selic3">#REF!</definedName>
    <definedName name="SelicJuros">#REF!</definedName>
    <definedName name="sencount" hidden="1">1</definedName>
    <definedName name="SENT">#REF!</definedName>
    <definedName name="Sep" hidden="1">{"'Resumen'!$A$1:$P$25"}</definedName>
    <definedName name="Series_de_IMG_y_Costos">#REF!</definedName>
    <definedName name="sfasfasdf">#REF!</definedName>
    <definedName name="SFEGGGGGGGGGGGGG" hidden="1">#REF!</definedName>
    <definedName name="sfgsfd" hidden="1">#REF!</definedName>
    <definedName name="SGFSGDSGDAG" hidden="1">#REF!</definedName>
    <definedName name="Sheet">#REF!</definedName>
    <definedName name="SIMBOLO">#REF!</definedName>
    <definedName name="skdjasiod">#REF!</definedName>
    <definedName name="SLCOR">#REF!</definedName>
    <definedName name="solver_adj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19.66</definedName>
    <definedName name="SOMASE">#REF!</definedName>
    <definedName name="SORT" hidden="1">#REF!</definedName>
    <definedName name="SP">#REF!</definedName>
    <definedName name="sp_man">#REF!</definedName>
    <definedName name="SP_ORÇ">#REF!</definedName>
    <definedName name="SPART">#REF!</definedName>
    <definedName name="sport">#REF!</definedName>
    <definedName name="SpreadAComl">#REF!</definedName>
    <definedName name="SpreadCorpo">#REF!</definedName>
    <definedName name="SpreadGEmpr">#REF!</definedName>
    <definedName name="SpreadPart">#REF!</definedName>
    <definedName name="SpreadPymes">#REF!</definedName>
    <definedName name="SpreadRede">#REF!</definedName>
    <definedName name="SpreadTotalVar">#REF!</definedName>
    <definedName name="SPYMES">#REF!</definedName>
    <definedName name="sqdqs">#REF!</definedName>
    <definedName name="sqf">#REF!</definedName>
    <definedName name="SS">#N/A</definedName>
    <definedName name="sss">#REF!</definedName>
    <definedName name="ssss">#REF!</definedName>
    <definedName name="sssss">#REF!</definedName>
    <definedName name="sssssss">#REF!</definedName>
    <definedName name="SSSSSSSSSSSSS" hidden="1">#REF!</definedName>
    <definedName name="STATUSESTOQUE">#REF!</definedName>
    <definedName name="stocks">#REF!</definedName>
    <definedName name="Strat_1_Def">#REF!</definedName>
    <definedName name="Strat_1_It">#REF!</definedName>
    <definedName name="Strat_1_T">#REF!</definedName>
    <definedName name="Strat_2_Def">#REF!</definedName>
    <definedName name="Strat_2_It">#REF!</definedName>
    <definedName name="Strat_2_T">#REF!</definedName>
    <definedName name="Strat_Def">#REF!</definedName>
    <definedName name="Strat_T_It">#REF!</definedName>
    <definedName name="Strat_T_T">#REF!</definedName>
    <definedName name="STWBD_StatToolsConfidenceInterval_AnalysisType" hidden="1">" 0"</definedName>
    <definedName name="STWBD_StatToolsConfidenceInterval_CalculateMeanInterval" hidden="1">"TRUE"</definedName>
    <definedName name="STWBD_StatToolsConfidenceInterval_CalculateStdDevInterval" hidden="1">"TRUE"</definedName>
    <definedName name="STWBD_StatToolsConfidenceInterval_DefaultDataFormat" hidden="1">" 0"</definedName>
    <definedName name="STWBD_StatToolsConfidenceInterval_HasDefaultInfo" hidden="1">"TRUE"</definedName>
    <definedName name="STWBD_StatToolsConfidenceInterval_MeanConfidenceLevel" hidden="1">" .95"</definedName>
    <definedName name="STWBD_StatToolsConfidenceInterval_StdDevConfidenceLevel" hidden="1">" .95"</definedName>
    <definedName name="STWBD_StatToolsConfidenceInterval_VariableList" hidden="1">1</definedName>
    <definedName name="STWBD_StatToolsConfidenceInterval_VariableList_1" hidden="1">"U_x0001_VG18C68F7C_x0001_"</definedName>
    <definedName name="STWBD_StatToolsConfidenceInterval_VarSelectorDefaultDataSet" hidden="1">"DG1557C622"</definedName>
    <definedName name="STWBD_StatToolsOneVarSummary_Count" hidden="1">"TRUE"</definedName>
    <definedName name="STWBD_StatToolsOneVarSummary_DefaultDataFormat" hidden="1">" 0"</definedName>
    <definedName name="STWBD_StatToolsOneVarSummary_FirstQuartile" hidden="1">"TRUE"</definedName>
    <definedName name="STWBD_StatToolsOneVarSummary_HasDefaultInfo" hidden="1">"TRUE"</definedName>
    <definedName name="STWBD_StatToolsOneVarSummary_InterQuartileRange" hidden="1">"TRUE"</definedName>
    <definedName name="STWBD_StatToolsOneVarSummary_Kurtosis" hidden="1">"TRUE"</definedName>
    <definedName name="STWBD_StatToolsOneVarSummary_Maximum" hidden="1">"TRUE"</definedName>
    <definedName name="STWBD_StatToolsOneVarSummary_Mean" hidden="1">"TRUE"</definedName>
    <definedName name="STWBD_StatToolsOneVarSummary_MeanAbsDeviation" hidden="1">"TRUE"</definedName>
    <definedName name="STWBD_StatToolsOneVarSummary_Median" hidden="1">"TRUE"</definedName>
    <definedName name="STWBD_StatToolsOneVarSummary_Minimum" hidden="1">"TRUE"</definedName>
    <definedName name="STWBD_StatToolsOneVarSummary_OtherPercentiles" hidden="1">"TRUE"</definedName>
    <definedName name="STWBD_StatToolsOneVarSummary_PercentileList" hidden="1">" .01, .025, .05, .1, .2, .8, .9, .95, .975, .99"</definedName>
    <definedName name="STWBD_StatToolsOneVarSummary_Range" hidden="1">"TRUE"</definedName>
    <definedName name="STWBD_StatToolsOneVarSummary_Skewness" hidden="1">"TRUE"</definedName>
    <definedName name="STWBD_StatToolsOneVarSummary_StandardDeviation" hidden="1">"TRUE"</definedName>
    <definedName name="STWBD_StatToolsOneVarSummary_Sum" hidden="1">"TRUE"</definedName>
    <definedName name="STWBD_StatToolsOneVarSummary_ThirdQuartile" hidden="1">"TRUE"</definedName>
    <definedName name="STWBD_StatToolsOneVarSummary_VariableList" hidden="1">4</definedName>
    <definedName name="STWBD_StatToolsOneVarSummary_VariableList_1" hidden="1">"U_x0001_VG2D1B584C_x0001_"</definedName>
    <definedName name="STWBD_StatToolsOneVarSummary_VariableList_2" hidden="1">"U_x0001_VG421EEB3_x0001_"</definedName>
    <definedName name="STWBD_StatToolsOneVarSummary_VariableList_3" hidden="1">"U_x0001_VG2000A935_x0001_"</definedName>
    <definedName name="STWBD_StatToolsOneVarSummary_VariableList_4" hidden="1">"U_x0001_VG330F36D6_x0001_"</definedName>
    <definedName name="STWBD_StatToolsOneVarSummary_Variance" hidden="1">"TRUE"</definedName>
    <definedName name="STWBD_StatToolsOneVarSummary_VarSelectorDefaultDataSet" hidden="1">"ALL DATA SETS"</definedName>
    <definedName name="STWBD_StatToolsRegression_blockList" hidden="1">"-1"</definedName>
    <definedName name="STWBD_StatToolsRegression_FValueToEnter" hidden="1">" 2.2"</definedName>
    <definedName name="STWBD_StatToolsRegression_FValueToLeave" hidden="1">" 1.1"</definedName>
    <definedName name="STWBD_StatToolsRegression_GraphFittedValueVsActualYValue" hidden="1">"TRUE"</definedName>
    <definedName name="STWBD_StatToolsRegression_GraphFittedValueVsXValue" hidden="1">"FALSE"</definedName>
    <definedName name="STWBD_StatToolsRegression_GraphResidualVsFittedValue" hidden="1">"TRUE"</definedName>
    <definedName name="STWBD_StatToolsRegression_GraphResidualVsXValue" hidden="1">"FALSE"</definedName>
    <definedName name="STWBD_StatToolsRegression_HasDefaultInfo" hidden="1">"TRUE"</definedName>
    <definedName name="STWBD_StatToolsRegression_IncludePrediction" hidden="1">"FALSE"</definedName>
    <definedName name="STWBD_StatToolsRegression_IncludeSteps" hidden="1">"FALSE"</definedName>
    <definedName name="STWBD_StatToolsRegression_NumberOfBlocks" hidden="1">" 0"</definedName>
    <definedName name="STWBD_StatToolsRegression_pValueToEnter" hidden="1">" .05"</definedName>
    <definedName name="STWBD_StatToolsRegression_pValueToLeave" hidden="1">" .1"</definedName>
    <definedName name="STWBD_StatToolsRegression_RegressionType" hidden="1">" 0"</definedName>
    <definedName name="STWBD_StatToolsRegression_useFValue" hidden="1">"FALSE"</definedName>
    <definedName name="STWBD_StatToolsRegression_usePValue" hidden="1">"TRUE"</definedName>
    <definedName name="STWBD_StatToolsRegression_VariableDependent" hidden="1">"U_x0001_VG2D35B001_x0001_"</definedName>
    <definedName name="STWBD_StatToolsRegression_VariableListIndependent" hidden="1">1</definedName>
    <definedName name="STWBD_StatToolsRegression_VariableListIndependent_1" hidden="1">"U_x0001_VG18C68F7C_x0001_"</definedName>
    <definedName name="STWBD_StatToolsRegression_VarSelectorDefaultDataSet" hidden="1">"ALL DATA SETS"</definedName>
    <definedName name="Sub_quimica">#REF!</definedName>
    <definedName name="Subquimica">#REF!</definedName>
    <definedName name="Subsidio">#REF!</definedName>
    <definedName name="SUMA">#REF!</definedName>
    <definedName name="Sumário" hidden="1">{#N/A,#N/A,FALSE,"SGP";#N/A,#N/A,FALSE,"SGI";#N/A,#N/A,FALSE,"SGC";#N/A,#N/A,FALSE,"SGS";#N/A,#N/A,FALSE,"SGB"}</definedName>
    <definedName name="SUMINISTRO">#REF!</definedName>
    <definedName name="SVAR">#REF!</definedName>
    <definedName name="SWAP1_Nocional">#REF!</definedName>
    <definedName name="Swap2_Nocional">#REF!</definedName>
    <definedName name="Swap3_Nocional">#REF!</definedName>
    <definedName name="swqweqrreqrererere" hidden="1">#REF!</definedName>
    <definedName name="sws">#REF!</definedName>
    <definedName name="Swvu.inputs._.raw._.data." hidden="1">#REF!</definedName>
    <definedName name="Swvu.summary1." hidden="1">#REF!</definedName>
    <definedName name="Swvu.summary2." hidden="1">#REF!</definedName>
    <definedName name="Swvu.summary3." hidden="1">#REF!</definedName>
    <definedName name="t" hidden="1">{"'TG'!$A$1:$L$37"}</definedName>
    <definedName name="Tabla_1">#REF!</definedName>
    <definedName name="tabla_9982">#REF!</definedName>
    <definedName name="tabla_9984">#REF!</definedName>
    <definedName name="tabla_9985">#REF!</definedName>
    <definedName name="tablas">#REF!</definedName>
    <definedName name="TALD">#REF!</definedName>
    <definedName name="TALI">#REF!</definedName>
    <definedName name="Tapete">#REF!</definedName>
    <definedName name="tar">#REF!</definedName>
    <definedName name="Target_BD_DSCR">#REF!</definedName>
    <definedName name="TargetDSCR">#REF!</definedName>
    <definedName name="Tarifas_2003">#REF!</definedName>
    <definedName name="TasaCrecimiento">#REF!</definedName>
    <definedName name="TausendS1">#REF!</definedName>
    <definedName name="TausendS2">#REF!</definedName>
    <definedName name="TausendS3">#REF!</definedName>
    <definedName name="Tax_Calc">#REF!</definedName>
    <definedName name="Tax_Constr">#REF!</definedName>
    <definedName name="Tax_Constr_Values">#REF!</definedName>
    <definedName name="Tax_HC">#REF!</definedName>
    <definedName name="Taxa_juros_anual">#REF!</definedName>
    <definedName name="tçlmvt">#REF!</definedName>
    <definedName name="TECNOFIBRAS" hidden="1">{"'PXR_6500'!$A$1:$I$124"}</definedName>
    <definedName name="TECNOFIBRAS2" hidden="1">{"'PXR_6500'!$A$1:$I$124"}</definedName>
    <definedName name="temp_10">#REF!</definedName>
    <definedName name="temp_12">#REF!</definedName>
    <definedName name="Tesouraria">#REF!</definedName>
    <definedName name="test" hidden="1">{"'PXR_6500'!$A$1:$I$124"}</definedName>
    <definedName name="TEST0">#REF!</definedName>
    <definedName name="test2">#REF!</definedName>
    <definedName name="teste">#REF!</definedName>
    <definedName name="teste123">#REF!</definedName>
    <definedName name="teste2">#REF!</definedName>
    <definedName name="teste3">#REF!</definedName>
    <definedName name="teste4">#REF!</definedName>
    <definedName name="teste5">#REF!</definedName>
    <definedName name="TESTHKEY">#REF!</definedName>
    <definedName name="TESTKEYS">#REF!</definedName>
    <definedName name="TESTVKEY">#REF!</definedName>
    <definedName name="TextRefCopyRangeCount" hidden="1">20</definedName>
    <definedName name="Thousand">#REF!</definedName>
    <definedName name="THTHEH" hidden="1">#REF!</definedName>
    <definedName name="TIE_Cortar">#REF!</definedName>
    <definedName name="TIE_Formula6">#REF!</definedName>
    <definedName name="TIE_Pegar">#REF!</definedName>
    <definedName name="TIE_Valor3">#REF!</definedName>
    <definedName name="TIE_Valor4">#REF!</definedName>
    <definedName name="TIE_Valor5">#REF!</definedName>
    <definedName name="TIE_Valor6">#REF!</definedName>
    <definedName name="Time_taken">#REF!</definedName>
    <definedName name="Tipo">#REF!</definedName>
    <definedName name="tipo_cajero">#REF!</definedName>
    <definedName name="TIR_Accionista_Libre">#REF!</definedName>
    <definedName name="TIRAccionista">#REF!</definedName>
    <definedName name="Tirformula">#REF!</definedName>
    <definedName name="tl">#REF!</definedName>
    <definedName name="tlm" hidden="1">{"'RR'!$A$2:$E$81"}</definedName>
    <definedName name="tolerance">#REF!</definedName>
    <definedName name="Total">#REF!</definedName>
    <definedName name="TPO">#REF!</definedName>
    <definedName name="tr">#REF!</definedName>
    <definedName name="TradeFinance">#REF!</definedName>
    <definedName name="Tranche1sizingvalue">#REF!</definedName>
    <definedName name="Tranche2sizingvalue">#REF!</definedName>
    <definedName name="TS">#REF!</definedName>
    <definedName name="Turno">#REF!</definedName>
    <definedName name="Turno_Discrep">#REF!</definedName>
    <definedName name="Turnos">#REF!</definedName>
    <definedName name="tweqtwer">#REF!</definedName>
    <definedName name="ty">#REF!</definedName>
    <definedName name="tyu" hidden="1">#REF!</definedName>
    <definedName name="U.F.1978_1991">#REF!,#REF!</definedName>
    <definedName name="UAL">#REF!</definedName>
    <definedName name="UBB_UTEJF" hidden="1">{#N/A,#N/A,FALSE,"ANEXO3 99 ERA";#N/A,#N/A,FALSE,"ANEXO3 99 UBÁ2";#N/A,#N/A,FALSE,"ANEXO3 99 DTU";#N/A,#N/A,FALSE,"ANEXO3 99 RDR";#N/A,#N/A,FALSE,"ANEXO3 99 UBÁ4";#N/A,#N/A,FALSE,"ANEXO3 99 UBÁ6"}</definedName>
    <definedName name="UCM_9" hidden="1">{"FS`s",#N/A,TRUE,"FS's";"Icome St",#N/A,TRUE,"Income St.";"Balance Sh",#N/A,TRUE,"Balance Sh.";"Gross Margin",#N/A,TRUE,"Gross Margin"}</definedName>
    <definedName name="UF">#REF!</definedName>
    <definedName name="UF_AGO">#REF!</definedName>
    <definedName name="UF_JUL">#REF!</definedName>
    <definedName name="uff">#REF!</definedName>
    <definedName name="ui">#REF!</definedName>
    <definedName name="uiio" hidden="1">#REF!</definedName>
    <definedName name="unitario">#REF!</definedName>
    <definedName name="Units">#REF!</definedName>
    <definedName name="us">#REF!</definedName>
    <definedName name="USD">#REF!</definedName>
    <definedName name="USOSFONTES">#REF!</definedName>
    <definedName name="uss">#REF!</definedName>
    <definedName name="utm">#REF!</definedName>
    <definedName name="uttm">#REF!</definedName>
    <definedName name="UV.1.2">#REF!</definedName>
    <definedName name="uwiepr">#REF!</definedName>
    <definedName name="v" hidden="1">{"'RR'!$A$2:$E$81"}</definedName>
    <definedName name="V_Máximo">#REF!</definedName>
    <definedName name="V_Médio">#REF!</definedName>
    <definedName name="V_Mínimo">#REF!</definedName>
    <definedName name="Vail" hidden="1">{"PVGraph2",#N/A,FALSE,"PV Data"}</definedName>
    <definedName name="VAL_NETO">#REF!</definedName>
    <definedName name="VAL_TOTAL">#REF!</definedName>
    <definedName name="VAL_UNIT">#REF!</definedName>
    <definedName name="valid">#REF!</definedName>
    <definedName name="Valid_Cajero">#REF!</definedName>
    <definedName name="Valid_DACV">#REF!</definedName>
    <definedName name="valor">#REF!</definedName>
    <definedName name="Valor_Construção">#REF!</definedName>
    <definedName name="Valor_da_Construção">#REF!</definedName>
    <definedName name="Valor_final_adotado">#REF!</definedName>
    <definedName name="Valor_Máximo">#REF!</definedName>
    <definedName name="Valor_Médio">#REF!</definedName>
    <definedName name="Valor_Mínimo">#REF!</definedName>
    <definedName name="Valor_sub_aproveitado">#REF!</definedName>
    <definedName name="Valor_total_sub_aproveitado">#REF!</definedName>
    <definedName name="VALOR_UF">#REF!</definedName>
    <definedName name="VALOR_UNIT">#REF!</definedName>
    <definedName name="Valor_Unitário">#REF!</definedName>
    <definedName name="ValorUF">#REF!</definedName>
    <definedName name="VBWGV4GRGSFG" hidden="1">#REF!</definedName>
    <definedName name="VBXCVNC" hidden="1">#REF!</definedName>
    <definedName name="VCVZCVV" hidden="1">#REF!</definedName>
    <definedName name="VEGE3F333" hidden="1">#REF!</definedName>
    <definedName name="vehic">#REF!</definedName>
    <definedName name="veiculo">#REF!</definedName>
    <definedName name="vergillio" hidden="1">#REF!</definedName>
    <definedName name="vhc">#REF!</definedName>
    <definedName name="via">#REF!</definedName>
    <definedName name="VIAEXPRESA">#REF!</definedName>
    <definedName name="Vida_Útil">#REF!</definedName>
    <definedName name="VIG">#REF!</definedName>
    <definedName name="vig_man">#REF!</definedName>
    <definedName name="VIG_ORÇ">#REF!</definedName>
    <definedName name="Vinc">#REF!</definedName>
    <definedName name="Violaciones">#REF!</definedName>
    <definedName name="VQEGQ3VVDQERV" hidden="1">#REF!</definedName>
    <definedName name="vre" hidden="1">#REF!</definedName>
    <definedName name="VT">#REF!</definedName>
    <definedName name="VTVR">#REF!</definedName>
    <definedName name="VU">#REF!</definedName>
    <definedName name="w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_1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ACCCountry">#REF!</definedName>
    <definedName name="WC3_A">#REF!</definedName>
    <definedName name="WC3_B">#REF!</definedName>
    <definedName name="WC3_C">#REF!</definedName>
    <definedName name="WC3_D">#REF!</definedName>
    <definedName name="WC3_E">#REF!</definedName>
    <definedName name="WC4_1">#REF!</definedName>
    <definedName name="WC4_2">#REF!</definedName>
    <definedName name="WC4_3">#REF!</definedName>
    <definedName name="WC4_4">#REF!</definedName>
    <definedName name="WC4_5">#REF!</definedName>
    <definedName name="WC4_6">#REF!</definedName>
    <definedName name="WC4_7">#REF!</definedName>
    <definedName name="wcom">#REF!</definedName>
    <definedName name="we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e_1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er">#REF!</definedName>
    <definedName name="wetrgfrgfgf" hidden="1">#REF!</definedName>
    <definedName name="Wp">#REF!</definedName>
    <definedName name="wpp">#REF!</definedName>
    <definedName name="WPrj">#REF!</definedName>
    <definedName name="wq" hidden="1">{"'PXR_6500'!$A$1:$I$124"}</definedName>
    <definedName name="wr">#REF!</definedName>
    <definedName name="wrn.1." hidden="1">{"cover",#N/A,TRUE,"Cover";"toc1",#N/A,TRUE,"TOC";"ts1",#N/A,TRUE,"Transaction Summary";"ei",#N/A,TRUE,"Earnings Impact";"ad",#N/A,TRUE,"accretion dilution"}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.Per._.Cent._.Success." hidden="1">{#N/A,"10% Success",FALSE,"Sales Forecast";#N/A,#N/A,FALSE,"Sheet2"}</definedName>
    <definedName name="wrn.100._.Per._.Cent._.Success." hidden="1">{#N/A,"100% Success",TRUE,"Sales Forecast";#N/A,#N/A,TRUE,"Sheet2"}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." hidden="1">{"cover",#N/A,TRUE,"Cover";"toc1",#N/A,TRUE,"TOC";"ts1",#N/A,TRUE,"Transaction Summary";"ei1",#N/A,TRUE,"Earnings Impact";"ad1",#N/A,TRUE,"accretion dilution"}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hidden="1">{"cover",#N/A,TRUE,"Cover";"toc1",#N/A,TRUE,"TOC";"ts1",#N/A,TRUE,"Transaction Summary";"ei2",#N/A,TRUE,"Earnings Impact";"ad2",#N/A,TRUE,"accretion dilution"}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.Per._.Cent." hidden="1">{#N/A,"30% Success",TRUE,"Sales Forecast";#N/A,#N/A,TRUE,"Sheet2"}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.Per._.Cent._.Success." hidden="1">{#N/A,"70% Success",FALSE,"Sales Forecast";#N/A,#N/A,FALSE,"Sheet2"}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Accounts.">#REF!</definedName>
    <definedName name="wrn.Accretion._.Dilution.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1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split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split_1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mp." hidden="1">{#N/A,#N/A,FALSE,"SGP";#N/A,#N/A,FALSE,"SGI";#N/A,#N/A,FALSE,"SGC";#N/A,#N/A,FALSE,"SGS";#N/A,#N/A,FALSE,"SGB"}</definedName>
    <definedName name="wrn.adm_pl." hidden="1">{"adm_pl",#N/A,FALSE,"PL"}</definedName>
    <definedName name="wrn.adm_rtp." hidden="1">{"adm_rtp",#N/A,FALSE,"PQ"}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2">#REF!</definedName>
    <definedName name="wrn.ALL.">#REF!</definedName>
    <definedName name="wrn.alle._.cijfers.">#REF!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merican._.risk._.97." hidden="1">{#N/A,#N/A,FALSE,"capa";#N/A,#N/A,FALSE,"capa 2";#N/A,#N/A,FALSE,"BS";#N/A,#N/A,FALSE,"P &amp; L";#N/A,#N/A,FALSE,"DMPL";#N/A,#N/A,FALSE,"Doar";#N/A,#N/A,FALSE,"Translation";#N/A,#N/A,FALSE,"R$";#N/A,#N/A,FALSE,"US$"}</definedName>
    <definedName name="wrn.ANALISIS._.SENSIBILIDAD." hidden="1">{#N/A,#N/A,FALSE,"BALANCE";#N/A,#N/A,FALSE,"CUENTA DE PYG";#N/A,#N/A,FALSE,"RATIOS"}</definedName>
    <definedName name="wrn.ANEXO0300." hidden="1">{#N/A,#N/A,FALSE,"ANEXO3 00 GDV";#N/A,#N/A,FALSE,"ANEXO3 00 GCM";#N/A,#N/A,FALSE,"ANEXO3 00  UBÁ6";#N/A,#N/A,FALSE,"ANEXO3 00 CJI";#N/A,#N/A,FALSE,"ANEXO3 00 UBÁ4";#N/A,#N/A,FALSE,"ANEXO3 00 UBÁ5";#N/A,#N/A,FALSE,"ANEXO3 00 UBÁ7";#N/A,#N/A,FALSE,"ANEXO3 00 VRB1"}</definedName>
    <definedName name="wrn.ANEXO0399." hidden="1">{#N/A,#N/A,FALSE,"ANEXO3 99 ERA";#N/A,#N/A,FALSE,"ANEXO3 99 UBÁ2";#N/A,#N/A,FALSE,"ANEXO3 99 DTU";#N/A,#N/A,FALSE,"ANEXO3 99 RDR";#N/A,#N/A,FALSE,"ANEXO3 99 UBÁ4";#N/A,#N/A,FALSE,"ANEXO3 99 UBÁ6"}</definedName>
    <definedName name="wrn.argentina." hidden="1">{"argentina",#N/A,FALSE,"PL"}</definedName>
    <definedName name="wrn.B._.P._.TDS.">#REF!</definedName>
    <definedName name="wrn.Balanço." hidden="1">{#N/A,#N/A,FALSE,"BLDC";#N/A,#N/A,FALSE,"RESDC";#N/A,#N/A,FALSE,"BLFV";#N/A,#N/A,FALSE,"RESFV"}</definedName>
    <definedName name="wrn.balanco._.patrimonial.">#REF!</definedName>
    <definedName name="wrn.Balanço2." hidden="1">{#N/A,#N/A,FALSE,"BLDC";#N/A,#N/A,FALSE,"RESDC";#N/A,#N/A,FALSE,"BLFV";#N/A,#N/A,FALSE,"RESFV"}</definedName>
    <definedName name="wrn.balanço3." hidden="1">{#N/A,#N/A,FALSE,"BLDC";#N/A,#N/A,FALSE,"RESDC";#N/A,#N/A,FALSE,"BLFV";#N/A,#N/A,FALSE,"RESFV"}</definedName>
    <definedName name="wrn.BATIDA_LUCRO_BRUTO.">#REF!</definedName>
    <definedName name="wrn.BDK" hidden="1">{"annual",#N/A,FALSE,"MAS";"margins",#N/A,FALSE,"MAS";"Q",#N/A,FALSE,"Qtrs."}</definedName>
    <definedName name="wrn.BEL.">#REF!</definedName>
    <definedName name="wrn.Board._.Pack." hidden="1">{"Board Income Statement",#N/A,FALSE,"Board Summary";"Board Balance Sheet",#N/A,FALSE,"Board Summary";"Board Cash Flow",#N/A,FALSE,"Board Summary"}</definedName>
    <definedName name="wrn.Board._.Pack._1" hidden="1">{"Board Income Statement",#N/A,FALSE,"Board Summary";"Board Balance Sheet",#N/A,FALSE,"Board Summary";"Board Cash Flow",#N/A,FALSE,"Board Summary"}</definedName>
    <definedName name="wrn.bow_argentina." hidden="1">{"bow_argentina",#N/A,FALSE,"AMF"}</definedName>
    <definedName name="wrn.bow_brasil." hidden="1">{"bow_brasil",#N/A,FALSE,"AMF"}</definedName>
    <definedName name="wrn.Brafs97." hidden="1">{#N/A,#N/A,FALSE,"Capas";#N/A,#N/A,FALSE,"BS";#N/A,#N/A,FALSE,"P &amp; L";#N/A,#N/A,FALSE,"DMPL";#N/A,#N/A,FALSE,"Doar";#N/A,#N/A,FALSE,"Translation";#N/A,#N/A,FALSE,"R$";#N/A,#N/A,FALSE,"US$";#N/A,#N/A,FALSE,"Marketable"}</definedName>
    <definedName name="wrn.CAPA_COMPLETA.">#REF!</definedName>
    <definedName name="wrn.CAPA_FOLHA_01.">#REF!</definedName>
    <definedName name="wrn.CAPA_FOLHA_02.">#REF!</definedName>
    <definedName name="wrn.CAPA_FOLHA_03.">#REF!</definedName>
    <definedName name="wrn.CAPA_FOLHA_04.">#REF!</definedName>
    <definedName name="wrn.Carrefour._.Worse._.Case.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1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Split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Split_1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obafi9.">#REF!</definedName>
    <definedName name="wrn.COMBINED.">#REF!</definedName>
    <definedName name="wrn.Company._.Analysis.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1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Analysis._Split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Analysis._Split_1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nselho.">#REF!</definedName>
    <definedName name="wrn.CONSOLIDADO." hidden="1">{"CONSOLIDADO",#N/A,FALSE,"TOT"}</definedName>
    <definedName name="wrn.CotaçõesDiáriasAGO95." hidden="1">{"CotaçõesDiáriasAGO95",#N/A,FALSE,"CotaçõesDiáriasJUL95"}</definedName>
    <definedName name="wrn.CotaçõesDiáriasJUL95." hidden="1">{"COTAÇÕESDIÁRIASJUL95",#N/A,FALSE,"CotaçõesDiáriasJUL95"}</definedName>
    <definedName name="wrn.CPV." hidden="1">{#N/A,#N/A,FALSE,"C.P.V."}</definedName>
    <definedName name="wrn.CPV2." hidden="1">{#N/A,#N/A,FALSE,"C.P.V."}</definedName>
    <definedName name="wrn.CSOCIAL.">#REF!</definedName>
    <definedName name="wrn.cxdia." hidden="1">{#N/A,#N/A,FALSE,"FFCXOUT3"}</definedName>
    <definedName name="wrn.cxdiager." hidden="1">{#N/A,#N/A,FALSE,"FFCXOUT3"}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cision._.Memo.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spesasPorArea.">#REF!</definedName>
    <definedName name="wrn.Deuda._.total." hidden="1">{"Deuda bancaria",#N/A,FALSE,"Créditos bancarios";"GMAC",#N/A,FALSE,"Créditos bancarios"}</definedName>
    <definedName name="wrn.Dezembro.">#REF!</definedName>
    <definedName name="wrn.div_bow." hidden="1">{"div_bow",#N/A,FALSE,"AMF"}</definedName>
    <definedName name="wrn.div_pls." hidden="1">{"div_pls",#N/A,FALSE,"PL"}</definedName>
    <definedName name="wrn.div_rtp." hidden="1">{"div_rtp",#N/A,FALSE,"PQ"}</definedName>
    <definedName name="wrn.divestiture." hidden="1">{#N/A,#N/A,TRUE,"Overview";#N/A,#N/A,TRUE,"Divest Val";#N/A,#N/A,TRUE,"sources &amp; uses";#N/A,#N/A,TRUE,"Has-Gets Divest"}</definedName>
    <definedName name="wrn.divestiture._1" hidden="1">{#N/A,#N/A,TRUE,"Overview";#N/A,#N/A,TRUE,"Divest Val";#N/A,#N/A,TRUE,"sources &amp; uses";#N/A,#N/A,TRUE,"Has-Gets Divest"}</definedName>
    <definedName name="wrn.divisões." hidden="1">{"divisões",#N/A,FALSE,"TOT"}</definedName>
    <definedName name="wrn.DLP_DIVISIONAL.">#REF!</definedName>
    <definedName name="wrn.DLP_FOLHA_01.">#REF!</definedName>
    <definedName name="wrn.DLP_FOLHA_02.">#REF!</definedName>
    <definedName name="wrn.DLP_FOLHA_03.">#REF!</definedName>
    <definedName name="wrn.DLP_FOLHA_04.">#REF!</definedName>
    <definedName name="wrn.DLP_FOLHA_05.">#REF!</definedName>
    <definedName name="wrn.DLP_FOLHA_06.">#REF!</definedName>
    <definedName name="wrn.DLP_FOLHA_08.">#REF!</definedName>
    <definedName name="wrn.DLP_FOLHA_09.">#REF!</definedName>
    <definedName name="wrn.DLP_FOLHA_10.">#REF!</definedName>
    <definedName name="wrn.DLP_FOLHA_11.">#REF!</definedName>
    <definedName name="wrn.DLP_FOLHA_12.">#REF!</definedName>
    <definedName name="wrn.DLP_FOLHA_13.">#REF!</definedName>
    <definedName name="wrn.DLP_FOLHA_14.">#REF!</definedName>
    <definedName name="wrn.DLPs._.DFCs.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OC_TRAB_COMPLETO.">#REF!</definedName>
    <definedName name="wrn.DOC_TRAB_FOLHA_01.">#REF!</definedName>
    <definedName name="wrn.DOC_TRAB_FOLHA_02.">#REF!</definedName>
    <definedName name="wrn.DOC_TRAB_FOLHA_03.">#REF!</definedName>
    <definedName name="wrn.DOC_TRAB_FOLHA_04.">#REF!</definedName>
    <definedName name="wrn.DOC_TRAB_FOLHA_05.">#REF!</definedName>
    <definedName name="wrn.DOC_TRAB_FOLHA_06.">#REF!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STADOS._.FINANCIEROS." hidden="1">{#N/A,#N/A,FALSE,"ACTIVO - hoja 1";#N/A,#N/A,FALSE,"ACTIVO - hoja 2";#N/A,#N/A,FALSE,"PASIVO - hoja 1";#N/A,#N/A,FALSE,"PASIVO - hoja 2";#N/A,#N/A,FALSE,"GASTOS - hoja 1 ";#N/A,#N/A,FALSE,"GASTOS - hoja 2";#N/A,#N/A,FALSE,"INGRESOS - hoja 1 ";#N/A,#N/A,FALSE,"INGRESOS - hoja 2"}</definedName>
    <definedName name="wrn.EXITO.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1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PENSES._.98._.US.">#REF!</definedName>
    <definedName name="wrn.EXPENSES._.99._.REAL.">#REF!</definedName>
    <definedName name="wrn.fb." hidden="1">{"AnnMarg",#N/A,FALSE,"FALCON";"Q",#N/A,FALSE,"Qtrs."}</definedName>
    <definedName name="wrn.FECH._.IMPOSTOS">#REF!</definedName>
    <definedName name="wrn.FECH._.IMPOSTOS.">#REF!</definedName>
    <definedName name="wrn.FINANCIAL._.MONTH.">#REF!</definedName>
    <definedName name="wrn.FINANCIAL._.MONTHS.">#REF!</definedName>
    <definedName name="wrn.FINANCIAL._.US._.MONTH.">#REF!</definedName>
    <definedName name="wrn.FINANCIAL._.US._.MONTHS.">#REF!</definedName>
    <definedName name="wrn.Financieelverslag.">#REF!</definedName>
    <definedName name="wrn.forecast." hidden="1">{#N/A,#N/A,FALSE,"model"}</definedName>
    <definedName name="wrn.forecast2" hidden="1">{#N/A,#N/A,FALSE,"model"}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riendly." hidden="1">{#N/A,#N/A,TRUE,"Julio";#N/A,#N/A,TRUE,"Agosto";#N/A,#N/A,TRUE,"BHCo";#N/A,#N/A,TRUE,"Abril";#N/A,#N/A,TRUE,"Pro Forma"}</definedName>
    <definedName name="wrn.Friendly._1" hidden="1">{#N/A,#N/A,TRUE,"Julio";#N/A,#N/A,TRUE,"Agosto";#N/A,#N/A,TRUE,"BHCo";#N/A,#N/A,TRUE,"Abril";#N/A,#N/A,TRUE,"Pro Forma"}</definedName>
    <definedName name="wrn.FS1198." hidden="1">{#N/A,#N/A,FALSE,"COVER";#N/A,#N/A,FALSE,"SHEET";#N/A,#N/A,FALSE,"R$";#N/A,#N/A,FALSE,"US$";#N/A,#N/A,FALSE,"SCQE";#N/A,#N/A,FALSE,"SFP";#N/A,#N/A,FALSE,"G&amp;L";#N/A,#N/A,FALSE,"BS";#N/A,#N/A,FALSE,"US$1";#N/A,#N/A,FALSE,"US$DETAILS"}</definedName>
    <definedName name="wrn.GRAPHS.">#REF!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imobil98." hidden="1">{#N/A,#N/A,FALSE,"Apar.Telef.";#N/A,#N/A,FALSE,"Software";#N/A,#N/A,FALSE,"Equip.Inform.";#N/A,#N/A,FALSE,"Moveis";#N/A,#N/A,FALSE,"Gravataí"}</definedName>
    <definedName name="wrn.imp.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rn.imp._1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rn.IMP01." hidden="1">{#N/A,#N/A,FALSE,"PREVISÃO DE VENDAS"}</definedName>
    <definedName name="wrn.IMP02." hidden="1">{"IMP02",#N/A,FALSE,"PREVISÃO DE VENDAS"}</definedName>
    <definedName name="wrn.IMP03." hidden="1">{"IMP03",#N/A,FALSE,"PREVISÃO DE VENDAS"}</definedName>
    <definedName name="wrn.impresión.">#REF!</definedName>
    <definedName name="wrn.impressão._.completa." hidden="1">{#N/A,#N/A,FALSE,"Credicard";#N/A,#N/A,FALSE,"Gold";#N/A,#N/A,FALSE,"AAdv";#N/A,#N/A,FALSE,"Diners";#N/A,#N/A,FALSE,"Federal";#N/A,#N/A,FALSE,"C.Mastercard";#N/A,#N/A,FALSE,"Citibank";#N/A,#N/A,FALSE,"Tam";#N/A,#N/A,FALSE,"SpecialCard";#N/A,#N/A,FALSE,"Estabel.";#N/A,#N/A,FALSE,"Propostas";#N/A,#N/A,FALSE,"Empresarial";#N/A,#N/A,FALSE,"Bancos";#N/A,#N/A,FALSE,"Senna";#N/A,#N/A,FALSE,"Itaú";#N/A,#N/A,FALSE,"Bandeira";#N/A,#N/A,FALSE,"Excel";#N/A,#N/A,FALSE,"Pré-Gravado";#N/A,#N/A,FALSE,"Autorização";#N/A,#N/A,FALSE,"Grandes";#N/A,#N/A,FALSE,"RAV";#N/A,#N/A,FALSE,"CEF";#N/A,#N/A,FALSE,"Super";#N/A,#N/A,FALSE,"Vida";#N/A,#N/A,FALSE,"Acidentes";#N/A,#N/A,FALSE,"Reside";#N/A,#N/A,FALSE,"CAD";#N/A,#N/A,FALSE,"AtePes";#N/A,#N/A,FALSE,"PPI"}</definedName>
    <definedName name="wrn.IMPRESSO." hidden="1">{#N/A,#N/A,FALSE,"Plan1";#N/A,#N/A,FALSE,"Plan2"}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QRCGMES.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RENDA.">#REF!</definedName>
    <definedName name="wrn.kleyner.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Laudo.">#REF!</definedName>
    <definedName name="wrn.MAS." hidden="1">{"annual",#N/A,FALSE,"MAS";"margins",#N/A,FALSE,"MAS";"Q",#N/A,FALSE,"Qtrs."}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RGER._.PLANS.">#REF!</definedName>
    <definedName name="wrn.MergerModel." hidden="1">{"Deal",#N/A,FALSE,"Deal";"acquiror",#N/A,FALSE,"Acquiror";"Target",#N/A,FALSE,"Target"}</definedName>
    <definedName name="wrn.Metropolitano._.Línea._.C." hidden="1">{#N/A,#N/A,FALSE,"Principal";#N/A,#N/A,FALSE,"CostCap";#N/A,#N/A,FALSE,"CostOp";#N/A,#N/A,FALSE,"EvalFin";#N/A,#N/A,FALSE,"EvalFin2";#N/A,#N/A,FALSE,"Financ";#N/A,#N/A,FALSE,"GrafSensibilidad";#N/A,#N/A,FALSE,"EvalFinConcesión";#N/A,#N/A,FALSE,"EvalFinConcesión (2)";#N/A,#N/A,FALSE,"EvalFinConcesión (3)";#N/A,#N/A,FALSE,"Créditos"}</definedName>
    <definedName name="wrn.Model.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net.">#REF!</definedName>
    <definedName name="wrn.Nico." hidden="1">{#N/A,#N/A,TRUE,"Cover";#N/A,#N/A,TRUE,"Transaction Summary";#N/A,#N/A,TRUE,"Earnings Impact";#N/A,#N/A,TRUE,"accretion dilution"}</definedName>
    <definedName name="wrn.Novembro.">#REF!</definedName>
    <definedName name="wrn.Official.">#REF!</definedName>
    <definedName name="wrn.Orçamento._.Geral.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RCSA." hidden="1">{"E001 - GERAÇÃO DE CAIXA GERAL",#N/A,FALSE,"Ajuste";"E002 - DLP GERAL",#N/A,FALSE,"Ajuste"}</definedName>
    <definedName name="wrn.Outubro.">#REF!</definedName>
    <definedName name="wrn.Parametros." hidden="1">{#N/A,#N/A,FALSE,"BLDC";#N/A,#N/A,FALSE,"RESDC";#N/A,#N/A,FALSE,"BLFV";#N/A,#N/A,FALSE,"RESFV"}</definedName>
    <definedName name="wrn.parametros2." hidden="1">{#N/A,#N/A,FALSE,"C.P.V."}</definedName>
    <definedName name="wrn.parametros3." hidden="1">{#N/A,#N/A,FALSE,"C.P.V."}</definedName>
    <definedName name="wrn.PENDENCIAS.">#REF!</definedName>
    <definedName name="wrn.PIS.">#REF!</definedName>
    <definedName name="wrn.PL." hidden="1">{"20 Years",#N/A,FALSE,"P&amp;Ls";"2001",#N/A,FALSE,"P&amp;Ls"}</definedName>
    <definedName name="wrn.PL._1" hidden="1">{"20 Years",#N/A,FALSE,"P&amp;Ls";"2001",#N/A,FALSE,"P&amp;Ls"}</definedName>
    <definedName name="wrn.pl_brasil." hidden="1">{"PL_Brasil",#N/A,FALSE,"PL"}</definedName>
    <definedName name="wrn.PLANEJAMENTO._.1999.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wrn.PLANEJAMENTO2._.1999.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wrn.portugal." hidden="1">{"portugal",#N/A,FALSE,"PL"}</definedName>
    <definedName name="wrn.pq_dr." hidden="1">{"pq_dr",#N/A,FALSE,"PQ"}</definedName>
    <definedName name="wrn.pq_pe." hidden="1">{"pq_pe",#N/A,FALSE,"PQ"}</definedName>
    <definedName name="wrn.pq_sp." hidden="1">{"pq_sp",#N/A,FALSE,"PQ"}</definedName>
    <definedName name="wrn.Presentacion.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ices." hidden="1">{#N/A,#N/A,TRUE,"BANAMEX";#N/A,#N/A,TRUE,"CGT";#N/A,#N/A,TRUE,"ALFA";#N/A,#N/A,TRUE,"ICA (2)"}</definedName>
    <definedName name="wrn.prices._1" hidden="1">{#N/A,#N/A,TRUE,"BANAMEX";#N/A,#N/A,TRUE,"CGT";#N/A,#N/A,TRUE,"ALFA";#N/A,#N/A,TRUE,"ICA (2)"}</definedName>
    <definedName name="wrn.PRINT.">#REF!</definedName>
    <definedName name="wrn.Print._.All." hidden="1">{#N/A,#N/A,FALSE,"TOC";#N/A,#N/A,FALSE,"ASS";#N/A,#N/A,FALSE,"CF";#N/A,#N/A,FALSE,"FUEL&amp;MTC"}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qt1.">#REF!</definedName>
    <definedName name="wrn.qtr2.">#REF!</definedName>
    <definedName name="wrn.Quick._.Summary." hidden="1">{"Decision Memo",#N/A,TRUE,"Ratios";"IRR",#N/A,TRUE,"IRR";"Decision Memo",#N/A,TRUE,"Fin. Stat.";"Summary",#N/A,TRUE,"Debt"}</definedName>
    <definedName name="wrn.Ray1.">#REF!</definedName>
    <definedName name="wrn.Ray2.">#REF!</definedName>
    <definedName name="wrn.Rayton.">#REF!</definedName>
    <definedName name="wrn.Relat_Básico.">#REF!</definedName>
    <definedName name="wrn.Relatório._.1." hidden="1">{"FS`s",#N/A,TRUE,"FS's";"Icome St",#N/A,TRUE,"Income St.";"Balance Sh",#N/A,TRUE,"Balance Sh.";"Gross Margin",#N/A,TRUE,"Gross Margin"}</definedName>
    <definedName name="wrn.Relatório._.Resumido." hidden="1">{#N/A,#N/A,FALSE,"GP";#N/A,#N/A,FALSE,"Assinantes";#N/A,#N/A,FALSE,"Rede";#N/A,#N/A,FALSE,"Evolução";#N/A,#N/A,FALSE,"Resultado"}</definedName>
    <definedName name="wrn.Relatório._.Resumido._1" hidden="1">{#N/A,#N/A,FALSE,"GP";#N/A,#N/A,FALSE,"Assinantes";#N/A,#N/A,FALSE,"Rede";#N/A,#N/A,FALSE,"Evolução";#N/A,#N/A,FALSE,"Resultado"}</definedName>
    <definedName name="wrn.REMO.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SULTADO.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MO.">#REF!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guros." hidden="1">{#N/A,#N/A,FALSE,"Vida";#N/A,#N/A,FALSE,"Acidentes";#N/A,#N/A,FALSE,"Reside";#N/A,#N/A,FALSE,"CAD";#N/A,#N/A,FALSE,"AtePes";#N/A,#N/A,FALSE,"PPI"}</definedName>
    <definedName name="wrn.Setembro.">#REF!</definedName>
    <definedName name="wrn.sociedades." hidden="1">{"sociedades",#N/A,FALSE,"PL"}</definedName>
    <definedName name="wrn.Summary._.Financials.">#REF!</definedName>
    <definedName name="wrn.SWK." hidden="1">{"Annual",#N/A,FALSE,"SWK";"Margins",#N/A,FALSE,"SWK";"Q",#N/A,FALSE,"Qtrs."}</definedName>
    <definedName name="wrn.Tabelas._.FII._.Nova._.Morada.">#REF!</definedName>
    <definedName name="wrn.tekst._.tabellen.">#REF!</definedName>
    <definedName name="wrn.Test." hidden="1">{"test",#N/A,TRUE,"Summary";"test",#N/A,TRUE,"Assumptions"}</definedName>
    <definedName name="wrn.test._.2." hidden="1">{"test",#N/A,TRUE,"Summary";"test",#N/A,TRUE,"Assumptions"}</definedName>
    <definedName name="wrn.test1.">#REF!</definedName>
    <definedName name="wrn.Teste" hidden="1">{#N/A,#N/A,FALSE,"BLDC";#N/A,#N/A,FALSE,"RESDC";#N/A,#N/A,FALSE,"BLFV";#N/A,#N/A,FALSE,"RESFV"}</definedName>
    <definedName name="wrn.teste." hidden="1">{#N/A,#N/A,TRUE,"Estab (motivos)";#N/A,#N/A,TRUE,"Estab (Planilha)"}</definedName>
    <definedName name="wrn.TODO." hidden="1">{#N/A,#N/A,FALSE,"RESUMEN";#N/A,#N/A,FALSE,"PARQ_C";#N/A,#N/A,FALSE,"PARQ_P";#N/A,#N/A,FALSE,"MIN_S_C";#N/A,#N/A,FALSE,"MIN_S_P";#N/A,#N/A,FALSE,"MIN_E_M_M";#N/A,#N/A,FALSE,"MIN_E_FIJA";#N/A,#N/A,FALSE,"SUPUESTOS"}</definedName>
    <definedName name="wrn.tot_bow." hidden="1">{"tot_bow",#N/A,FALSE,"AMF"}</definedName>
    <definedName name="wrn.TOT_DIVISÕES." hidden="1">{"TOT_DIVISÕES",#N/A,FALSE,"TOT"}</definedName>
    <definedName name="wrn.tot_pls." hidden="1">{"tot_pls",#N/A,FALSE,"PL"}</definedName>
    <definedName name="wrn.tot_pqs." hidden="1">{"tot_pqs",#N/A,FALSE,"PQ"}</definedName>
    <definedName name="wrn.TOTAL.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comp." hidden="1">{"comp1",#N/A,FALSE,"COMPS";"footnotes",#N/A,FALSE,"COMPS"}</definedName>
    <definedName name="wrn.totalcomp._1" hidden="1">{"comp1",#N/A,FALSE,"COMPS";"footnotes",#N/A,FALSE,"COMPS"}</definedName>
    <definedName name="wrn.Tout._.Sauf._.BG.">#REF!</definedName>
    <definedName name="wrn.UNISER." hidden="1">{"UNISER",#N/A,FALSE,"TOT"}</definedName>
    <definedName name="wrn.Usinor.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W.">#REF!</definedName>
    <definedName name="wrn.VALUATION.">#REF!</definedName>
    <definedName name="wrn.VENTAS.">#REF!</definedName>
    <definedName name="wrn.Whole._.Pack.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1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ORK._.PAPER.">#REF!</definedName>
    <definedName name="wrn.WORK._.PAPER._.99.">#REF!</definedName>
    <definedName name="wrn.x." hidden="1">{#N/A,#N/A,FALSE,"ENCO R63";#N/A,#N/A,FALSE,"ENCO"}</definedName>
    <definedName name="wrn.Zahlenwerk.">#REF!</definedName>
    <definedName name="wrn1.history" hidden="1">{#N/A,#N/A,FALSE,"model"}</definedName>
    <definedName name="wrn3.histroic" hidden="1">{#N/A,#N/A,FALSE,"model"}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int_Todo.">#REF!</definedName>
    <definedName name="wvu.Socios._.95.">#REF!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XCER" hidden="1">#REF!</definedName>
    <definedName name="xpaste1" hidden="1">#REF!</definedName>
    <definedName name="xpaste4" hidden="1">#REF!</definedName>
    <definedName name="XRED" hidden="1">#REF!</definedName>
    <definedName name="xref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1" hidden="1">#REF!</definedName>
    <definedName name="xref2" hidden="1">#REF!</definedName>
    <definedName name="xref3" hidden="1">7</definedName>
    <definedName name="xref4" hidden="1">#REF!</definedName>
    <definedName name="xref5" hidden="1">#REF!</definedName>
    <definedName name="xref6" hidden="1">#REF!</definedName>
    <definedName name="xref7" hidden="1">69</definedName>
    <definedName name="xref8" hidden="1">#REF!</definedName>
    <definedName name="xref9" hidden="1">#REF!</definedName>
    <definedName name="XRefActiveRow" hidden="1">#REF!</definedName>
    <definedName name="XRefColumnsCount" hidden="1">6</definedName>
    <definedName name="XRefCopy1" hidden="1">#REF!</definedName>
    <definedName name="XRefCopy10" hidden="1">#REF!</definedName>
    <definedName name="XRefCopy101" hidden="1">#REF!</definedName>
    <definedName name="XRefCopy103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0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Row" hidden="1">#REF!</definedName>
    <definedName name="XRefCopyRangeCount" hidden="1">4</definedName>
    <definedName name="XRefPaste1" hidden="1">#REF!</definedName>
    <definedName name="XRefPaste10" hidden="1">#REF!</definedName>
    <definedName name="XRefPaste100Row" hidden="1">#REF!</definedName>
    <definedName name="XRefPaste101">#REF!</definedName>
    <definedName name="XRefPaste101Row">#REF!</definedName>
    <definedName name="XRefPaste102">#REF!</definedName>
    <definedName name="XRefPaste102Row">#REF!</definedName>
    <definedName name="XRefPaste103">#REF!</definedName>
    <definedName name="XRefPaste103Row">#REF!</definedName>
    <definedName name="XRefPaste104Row">#REF!</definedName>
    <definedName name="XRefPaste105Row">#REF!</definedName>
    <definedName name="XRefPaste106">#REF!</definedName>
    <definedName name="XRefPaste106Row">#REF!</definedName>
    <definedName name="XRefPaste107Row">#REF!</definedName>
    <definedName name="XRefPaste108Row">#REF!</definedName>
    <definedName name="XRefPaste10Row" hidden="1">#REF!</definedName>
    <definedName name="XRefPaste11" hidden="1">#REF!</definedName>
    <definedName name="XRefPaste111Row">#REF!</definedName>
    <definedName name="XRefPaste112Row">#REF!</definedName>
    <definedName name="XRefPaste117">#REF!</definedName>
    <definedName name="XRefPaste117Row">#REF!</definedName>
    <definedName name="XRefPaste118">#REF!</definedName>
    <definedName name="XRefPaste118Row">#REF!</definedName>
    <definedName name="XRefPaste119">#REF!</definedName>
    <definedName name="XRefPaste119Row">#REF!</definedName>
    <definedName name="XRefPaste11Row" hidden="1">#REF!</definedName>
    <definedName name="XRefPaste12" hidden="1">#REF!</definedName>
    <definedName name="XRefPaste120">#REF!</definedName>
    <definedName name="XRefPaste120Row">#REF!</definedName>
    <definedName name="XRefPaste121Row">#REF!</definedName>
    <definedName name="XRefPaste122Row">#REF!</definedName>
    <definedName name="XRefPaste123Row">#REF!</definedName>
    <definedName name="XRefPaste124Row">#REF!</definedName>
    <definedName name="XRefPaste126Row">#REF!</definedName>
    <definedName name="XRefPaste127Row">#REF!</definedName>
    <definedName name="XRefPaste128Row">#REF!</definedName>
    <definedName name="XRefPaste129Row">#REF!</definedName>
    <definedName name="XRefPaste12Row" hidden="1">#REF!</definedName>
    <definedName name="XRefPaste13" hidden="1">#REF!</definedName>
    <definedName name="XRefPaste130Row">#REF!</definedName>
    <definedName name="XRefPaste131Row">#REF!</definedName>
    <definedName name="XRefPaste132Row">#REF!</definedName>
    <definedName name="XRefPaste133Row">#REF!</definedName>
    <definedName name="XRefPaste134Row">#REF!</definedName>
    <definedName name="XRefPaste135Row">#REF!</definedName>
    <definedName name="XRefPaste136Row">#REF!</definedName>
    <definedName name="XRefPaste137Row">#REF!</definedName>
    <definedName name="XRefPaste138Row">#REF!</definedName>
    <definedName name="XRefPaste139">#REF!</definedName>
    <definedName name="XRefPaste139Row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3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Row" hidden="1">#REF!</definedName>
    <definedName name="XRefPaste36" hidden="1">#REF!</definedName>
    <definedName name="XRefPaste36Row" hidden="1">#REF!</definedName>
    <definedName name="XRefPaste37">#REF!</definedName>
    <definedName name="XRefPaste37Row" hidden="1">#REF!</definedName>
    <definedName name="XRefPaste38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Row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Row" hidden="1">#REF!</definedName>
    <definedName name="XRefPaste4Row" hidden="1">#REF!</definedName>
    <definedName name="XRefPaste5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Row" hidden="1">#REF!</definedName>
    <definedName name="XRefPaste54Row" hidden="1">#REF!</definedName>
    <definedName name="XRefPaste55" hidden="1">#REF!</definedName>
    <definedName name="XRefPaste55Row" hidden="1">#REF!</definedName>
    <definedName name="XRefPaste56Row" hidden="1">#REF!</definedName>
    <definedName name="XRefPaste57" hidden="1">#REF!</definedName>
    <definedName name="XRefPaste57Row" hidden="1">#REF!</definedName>
    <definedName name="XRefPaste58Row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Row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Row" hidden="1">#REF!</definedName>
    <definedName name="XRefPaste92Row" hidden="1">#REF!</definedName>
    <definedName name="XRefPaste93Row" hidden="1">#REF!</definedName>
    <definedName name="XRefPaste94Row" hidden="1">#REF!</definedName>
    <definedName name="XRefPaste95Row" hidden="1">#REF!</definedName>
    <definedName name="XRefPaste96Row" hidden="1">#REF!</definedName>
    <definedName name="XRefPaste97Row" hidden="1">#REF!</definedName>
    <definedName name="XRefPaste98Row" hidden="1">#REF!</definedName>
    <definedName name="XRefPaste99Row" hidden="1">#REF!</definedName>
    <definedName name="XRefPaste9Row" hidden="1">#REF!</definedName>
    <definedName name="XRefPasteRangeCount" hidden="1">6</definedName>
    <definedName name="xx">#REF!</definedName>
    <definedName name="XXX">#REF!</definedName>
    <definedName name="XXXXXXXXXXXX" hidden="1">#REF!</definedName>
    <definedName name="y">#REF!</definedName>
    <definedName name="YECY">#REF!</definedName>
    <definedName name="yu">#REF!</definedName>
    <definedName name="yy">#REF!</definedName>
    <definedName name="yyy">#REF!</definedName>
    <definedName name="yyyyy">#REF!</definedName>
    <definedName name="yyyyyy">#REF!</definedName>
    <definedName name="yyyyyyy">#REF!</definedName>
    <definedName name="yyyyyyyy">#REF!</definedName>
    <definedName name="yyyyyyyyyyyyyyyy">#REF!</definedName>
    <definedName name="yyyyyyyyyyyyyyyyyyy">#REF!</definedName>
    <definedName name="z" hidden="1">{"FS`s",#N/A,TRUE,"FS's";"Icome St",#N/A,TRUE,"Income St.";"Balance Sh",#N/A,TRUE,"Balance Sh.";"Gross Margin",#N/A,TRUE,"Gross Margin"}</definedName>
    <definedName name="Z_2E1E5D60_3082_11D3_9C17_005004241B5C_.wvu.PrintArea" hidden="1">#REF!</definedName>
    <definedName name="Z_305FC984_DD37_11D3_8657_0050DA2F5AD3_.wvu.PrintArea" hidden="1">#REF!</definedName>
    <definedName name="Z_38D93D52_D264_11D3_8D9D_0010A4E10483_.wvu.PrintArea" hidden="1">#REF!</definedName>
    <definedName name="Z_4FA7459B_7D59_11D3_B819_444553540000_.wvu.Rows">#REF!</definedName>
    <definedName name="Z_5FA62964_352A_11D3_99C7_0080C88CC390_.wvu.PrintArea" hidden="1">#REF!</definedName>
    <definedName name="Z_80B002F7_357B_4F53_BFF7_E60861557EB0_.wvu.Cols" hidden="1">#REF!</definedName>
    <definedName name="Z_80B002F7_357B_4F53_BFF7_E60861557EB0_.wvu.PrintArea" hidden="1">#REF!</definedName>
    <definedName name="Z_80B002F7_357B_4F53_BFF7_E60861557EB0_.wvu.Rows" hidden="1">#REF!,#REF!</definedName>
    <definedName name="Z_A2C5AB60_44DC_4FBE_BD4A_C52211C00E6B_.wvu.Cols">#REF!</definedName>
    <definedName name="Z_A2C5AB60_44DC_4FBE_BD4A_C52211C00E6B_.wvu.PrintArea">#REF!</definedName>
    <definedName name="Z_B4039CE0_3057_11D3_A072_0050046F7D89_.wvu.PrintArea" hidden="1">#REF!</definedName>
    <definedName name="Z_BE3C1277_2AED_11D3_9EA8_005004017A05_.wvu.PrintArea" hidden="1">#REF!</definedName>
    <definedName name="ZCVZCVZ" hidden="1">#REF!</definedName>
    <definedName name="zdlgj" hidden="1">{"'RR'!$A$2:$E$81"}</definedName>
    <definedName name="zergz">#REF!</definedName>
    <definedName name="zxcv" hidden="1">#REF!</definedName>
    <definedName name="zxxx" hidden="1">{"'RR'!$A$2:$E$81"}</definedName>
    <definedName name="zzz">#REF!</definedName>
    <definedName name="ZZZZZZZZZZZZ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4" l="1"/>
  <c r="H6" i="4"/>
  <c r="I6" i="4" s="1"/>
  <c r="H5" i="4"/>
  <c r="I5" i="4" s="1"/>
  <c r="H4" i="4"/>
  <c r="I4" i="4" s="1"/>
  <c r="H3" i="4"/>
  <c r="D11" i="4"/>
  <c r="D10" i="4" l="1"/>
  <c r="E10" i="4"/>
  <c r="F10" i="4"/>
  <c r="G10" i="4"/>
  <c r="E11" i="4"/>
  <c r="F11" i="4"/>
  <c r="G11" i="4"/>
  <c r="E9" i="4"/>
  <c r="F9" i="4"/>
  <c r="G9" i="4"/>
  <c r="D9" i="4"/>
  <c r="H21" i="4"/>
  <c r="I21" i="4" s="1"/>
  <c r="H20" i="4"/>
  <c r="I20" i="4" s="1"/>
  <c r="H19" i="4"/>
  <c r="I19" i="4" s="1"/>
  <c r="H16" i="4"/>
  <c r="I16" i="4" s="1"/>
  <c r="H15" i="4"/>
  <c r="I15" i="4" s="1"/>
  <c r="H14" i="4"/>
  <c r="I14" i="4" s="1"/>
  <c r="E2" i="4"/>
  <c r="F2" i="4" s="1"/>
  <c r="G2" i="4" s="1"/>
  <c r="H11" i="4" l="1"/>
  <c r="H10" i="4"/>
  <c r="H9" i="4"/>
  <c r="G38" i="2" l="1"/>
  <c r="F38" i="2"/>
  <c r="G34" i="2"/>
  <c r="F34" i="2"/>
  <c r="G33" i="2"/>
  <c r="F33" i="2"/>
  <c r="E33" i="2"/>
  <c r="G22" i="2"/>
  <c r="G19" i="2"/>
  <c r="G18" i="2"/>
  <c r="G28" i="2" s="1"/>
  <c r="F22" i="2"/>
  <c r="F18" i="2"/>
  <c r="F28" i="2" s="1"/>
  <c r="F19" i="2"/>
  <c r="E18" i="2"/>
  <c r="E28" i="2" s="1"/>
  <c r="FR19" i="3"/>
  <c r="FO19" i="3"/>
  <c r="FR18" i="3"/>
  <c r="FO18" i="3"/>
  <c r="FR17" i="3"/>
  <c r="FO17" i="3"/>
  <c r="FL11" i="3"/>
  <c r="FL19" i="3"/>
  <c r="FL18" i="3"/>
  <c r="FL17" i="3"/>
  <c r="FI19" i="3"/>
  <c r="FI18" i="3"/>
  <c r="FI11" i="3"/>
  <c r="FI17" i="3"/>
  <c r="FF11" i="3"/>
  <c r="FC11" i="3"/>
  <c r="EW18" i="3"/>
  <c r="E38" i="2" s="1"/>
  <c r="EW19" i="3"/>
  <c r="E34" i="2" s="1"/>
  <c r="EZ19" i="3"/>
  <c r="E19" i="2" s="1"/>
  <c r="EZ18" i="3"/>
  <c r="E22" i="2" s="1"/>
  <c r="EZ17" i="3"/>
  <c r="EZ11" i="3"/>
  <c r="EW11" i="3"/>
  <c r="EW17" i="3"/>
  <c r="EB34" i="3"/>
  <c r="EB32" i="3"/>
  <c r="EB29" i="3"/>
  <c r="EB33" i="3" s="1"/>
  <c r="EB28" i="3"/>
  <c r="EB27" i="3"/>
  <c r="EE24" i="3"/>
  <c r="EB24" i="3"/>
  <c r="EB23" i="3"/>
  <c r="EE22" i="3"/>
  <c r="EE34" i="3" s="1"/>
  <c r="EB22" i="3"/>
  <c r="G6" i="2"/>
  <c r="E6" i="2"/>
  <c r="F6" i="2"/>
  <c r="H7" i="2"/>
  <c r="I7" i="2"/>
  <c r="J7" i="2"/>
  <c r="K7" i="2"/>
  <c r="L7" i="2"/>
  <c r="M7" i="2"/>
  <c r="N7" i="2"/>
  <c r="O7" i="2"/>
  <c r="D6" i="2"/>
  <c r="E11" i="2"/>
  <c r="F11" i="2"/>
  <c r="G11" i="2"/>
  <c r="H11" i="2"/>
  <c r="I11" i="2"/>
  <c r="J11" i="2"/>
  <c r="K11" i="2"/>
  <c r="L11" i="2"/>
  <c r="M11" i="2"/>
  <c r="N11" i="2"/>
  <c r="O11" i="2"/>
  <c r="E12" i="2"/>
  <c r="F12" i="2"/>
  <c r="G12" i="2"/>
  <c r="H12" i="2"/>
  <c r="I12" i="2"/>
  <c r="J12" i="2"/>
  <c r="K12" i="2"/>
  <c r="L12" i="2"/>
  <c r="M12" i="2"/>
  <c r="N12" i="2"/>
  <c r="O12" i="2"/>
  <c r="D12" i="2"/>
  <c r="D11" i="2"/>
  <c r="EE32" i="3" l="1"/>
  <c r="E7" i="2"/>
  <c r="E103" i="2"/>
  <c r="G7" i="2"/>
  <c r="G103" i="2"/>
  <c r="D7" i="2"/>
  <c r="D103" i="2"/>
  <c r="F7" i="2"/>
  <c r="F103" i="2"/>
  <c r="EK11" i="3"/>
  <c r="EE11" i="3"/>
  <c r="EE19" i="3"/>
  <c r="EE23" i="3" s="1"/>
  <c r="EE18" i="3"/>
  <c r="D22" i="2" s="1"/>
  <c r="EE17" i="3"/>
  <c r="D38" i="2"/>
  <c r="D34" i="2"/>
  <c r="EB19" i="3"/>
  <c r="D33" i="2"/>
  <c r="EB18" i="3"/>
  <c r="EH11" i="3"/>
  <c r="EB11" i="3"/>
  <c r="EB17" i="3"/>
  <c r="N161" i="3"/>
  <c r="M164" i="3" s="1"/>
  <c r="M161" i="3"/>
  <c r="Q146" i="3"/>
  <c r="O145" i="3"/>
  <c r="Q145" i="3" s="1"/>
  <c r="Q144" i="3"/>
  <c r="O140" i="3" s="1"/>
  <c r="O144" i="3"/>
  <c r="Q143" i="3"/>
  <c r="O143" i="3"/>
  <c r="Q142" i="3"/>
  <c r="Q138" i="3"/>
  <c r="O137" i="3"/>
  <c r="Q137" i="3" s="1"/>
  <c r="Q136" i="3"/>
  <c r="Q135" i="3"/>
  <c r="Q134" i="3"/>
  <c r="Q130" i="3"/>
  <c r="Q129" i="3"/>
  <c r="Q128" i="3"/>
  <c r="Q127" i="3"/>
  <c r="O124" i="3" s="1"/>
  <c r="Q126" i="3"/>
  <c r="P111" i="3"/>
  <c r="P114" i="3" s="1"/>
  <c r="P115" i="3" s="1"/>
  <c r="Q101" i="3"/>
  <c r="J97" i="3"/>
  <c r="J94" i="3"/>
  <c r="Q93" i="3"/>
  <c r="K89" i="3"/>
  <c r="K88" i="3"/>
  <c r="Q85" i="3"/>
  <c r="Q87" i="3" s="1"/>
  <c r="Q89" i="3" s="1"/>
  <c r="K85" i="3"/>
  <c r="K84" i="3"/>
  <c r="Q83" i="3"/>
  <c r="Q91" i="3" s="1"/>
  <c r="Q95" i="3" s="1"/>
  <c r="P63" i="3"/>
  <c r="P64" i="3" s="1"/>
  <c r="P65" i="3" s="1"/>
  <c r="R62" i="3"/>
  <c r="Q65" i="3" s="1"/>
  <c r="L62" i="3"/>
  <c r="L70" i="3" s="1"/>
  <c r="L61" i="3"/>
  <c r="O59" i="3"/>
  <c r="N59" i="3"/>
  <c r="AE51" i="3"/>
  <c r="AE62" i="3" s="1"/>
  <c r="AB48" i="3"/>
  <c r="S48" i="3"/>
  <c r="S50" i="3" s="1"/>
  <c r="AB46" i="3"/>
  <c r="S46" i="3"/>
  <c r="AE41" i="3"/>
  <c r="AE48" i="3" s="1"/>
  <c r="AB41" i="3"/>
  <c r="AB51" i="3" s="1"/>
  <c r="AB62" i="3" s="1"/>
  <c r="Y41" i="3"/>
  <c r="Y51" i="3" s="1"/>
  <c r="Y62" i="3" s="1"/>
  <c r="V41" i="3"/>
  <c r="V48" i="3" s="1"/>
  <c r="S41" i="3"/>
  <c r="S51" i="3" s="1"/>
  <c r="S62" i="3" s="1"/>
  <c r="P41" i="3"/>
  <c r="P48" i="3" s="1"/>
  <c r="M41" i="3"/>
  <c r="J41" i="3"/>
  <c r="G41" i="3"/>
  <c r="D41" i="3"/>
  <c r="D37" i="3"/>
  <c r="AB35" i="3"/>
  <c r="Y35" i="3"/>
  <c r="S35" i="3"/>
  <c r="J35" i="3"/>
  <c r="D35" i="3"/>
  <c r="AE33" i="3"/>
  <c r="AE35" i="3" s="1"/>
  <c r="AB33" i="3"/>
  <c r="Y33" i="3"/>
  <c r="V33" i="3"/>
  <c r="V35" i="3" s="1"/>
  <c r="S33" i="3"/>
  <c r="P33" i="3"/>
  <c r="P35" i="3" s="1"/>
  <c r="M33" i="3"/>
  <c r="M35" i="3" s="1"/>
  <c r="J33" i="3"/>
  <c r="G33" i="3"/>
  <c r="G35" i="3" s="1"/>
  <c r="D33" i="3"/>
  <c r="AE31" i="3"/>
  <c r="V31" i="3"/>
  <c r="P31" i="3"/>
  <c r="M31" i="3"/>
  <c r="G31" i="3"/>
  <c r="AE29" i="3"/>
  <c r="AB29" i="3"/>
  <c r="AB31" i="3" s="1"/>
  <c r="Y29" i="3"/>
  <c r="Y31" i="3" s="1"/>
  <c r="V29" i="3"/>
  <c r="S29" i="3"/>
  <c r="S31" i="3" s="1"/>
  <c r="P29" i="3"/>
  <c r="M29" i="3"/>
  <c r="J29" i="3"/>
  <c r="J31" i="3" s="1"/>
  <c r="G29" i="3"/>
  <c r="D29" i="3"/>
  <c r="D31" i="3" s="1"/>
  <c r="BE27" i="3"/>
  <c r="AE27" i="3"/>
  <c r="AC27" i="3"/>
  <c r="AB27" i="3"/>
  <c r="F53" i="2" s="1"/>
  <c r="Y27" i="3"/>
  <c r="G27" i="3"/>
  <c r="H27" i="3" s="1"/>
  <c r="AL3" i="3" s="1"/>
  <c r="E27" i="3"/>
  <c r="AJ3" i="3" s="1"/>
  <c r="D27" i="3"/>
  <c r="B27" i="3"/>
  <c r="AH3" i="3" s="1"/>
  <c r="A27" i="3"/>
  <c r="BE25" i="3"/>
  <c r="BE23" i="3"/>
  <c r="BE22" i="3"/>
  <c r="BE21" i="3"/>
  <c r="BE38" i="3" s="1"/>
  <c r="BE40" i="3" s="1"/>
  <c r="P17" i="3"/>
  <c r="P16" i="3"/>
  <c r="K16" i="3"/>
  <c r="N7" i="3" s="1"/>
  <c r="J16" i="3"/>
  <c r="P15" i="3"/>
  <c r="M15" i="3"/>
  <c r="P14" i="3"/>
  <c r="M14" i="3"/>
  <c r="P13" i="3"/>
  <c r="M13" i="3"/>
  <c r="M27" i="3" s="1"/>
  <c r="P12" i="3"/>
  <c r="FR11" i="3"/>
  <c r="FO11" i="3"/>
  <c r="ET11" i="3"/>
  <c r="EQ11" i="3"/>
  <c r="EN11" i="3"/>
  <c r="DY11" i="3"/>
  <c r="DV11" i="3"/>
  <c r="DS11" i="3"/>
  <c r="DP11" i="3"/>
  <c r="DM11" i="3"/>
  <c r="DJ11" i="3"/>
  <c r="DJ9" i="3" s="1"/>
  <c r="DG11" i="3"/>
  <c r="DG9" i="3" s="1"/>
  <c r="DD11" i="3"/>
  <c r="DA11" i="3"/>
  <c r="CX11" i="3"/>
  <c r="CU11" i="3"/>
  <c r="CR11" i="3"/>
  <c r="CO11" i="3"/>
  <c r="CO9" i="3" s="1"/>
  <c r="CL11" i="3"/>
  <c r="CI11" i="3"/>
  <c r="CI9" i="3" s="1"/>
  <c r="CF11" i="3"/>
  <c r="CC11" i="3"/>
  <c r="BZ11" i="3"/>
  <c r="BW11" i="3"/>
  <c r="BT11" i="3"/>
  <c r="BQ11" i="3"/>
  <c r="BQ9" i="3" s="1"/>
  <c r="BN11" i="3"/>
  <c r="BK11" i="3"/>
  <c r="BK9" i="3" s="1"/>
  <c r="BH11" i="3"/>
  <c r="BE11" i="3"/>
  <c r="P11" i="3"/>
  <c r="K11" i="3"/>
  <c r="P10" i="3"/>
  <c r="FZ9" i="3"/>
  <c r="FO9" i="3"/>
  <c r="EZ9" i="3"/>
  <c r="EW9" i="3"/>
  <c r="EQ9" i="3"/>
  <c r="EB9" i="3"/>
  <c r="DY9" i="3"/>
  <c r="DS9" i="3"/>
  <c r="DD9" i="3"/>
  <c r="DA9" i="3"/>
  <c r="CU9" i="3"/>
  <c r="CF9" i="3"/>
  <c r="CC9" i="3"/>
  <c r="BW9" i="3"/>
  <c r="BH9" i="3"/>
  <c r="BE9" i="3"/>
  <c r="P9" i="3"/>
  <c r="P27" i="3" s="1"/>
  <c r="P8" i="3"/>
  <c r="S7" i="3"/>
  <c r="GJ6" i="3"/>
  <c r="BE39" i="3" s="1"/>
  <c r="FZ6" i="3"/>
  <c r="FZ11" i="3" s="1"/>
  <c r="GC5" i="3"/>
  <c r="FZ5" i="3"/>
  <c r="J5" i="3"/>
  <c r="H5" i="3"/>
  <c r="N4" i="3"/>
  <c r="J4" i="3"/>
  <c r="H4" i="3"/>
  <c r="FR3" i="3"/>
  <c r="FR9" i="3" s="1"/>
  <c r="FO3" i="3"/>
  <c r="FL3" i="3"/>
  <c r="FL9" i="3" s="1"/>
  <c r="FI3" i="3"/>
  <c r="FI9" i="3" s="1"/>
  <c r="FF3" i="3"/>
  <c r="FF9" i="3" s="1"/>
  <c r="FC3" i="3"/>
  <c r="FC9" i="3" s="1"/>
  <c r="EZ3" i="3"/>
  <c r="EW3" i="3"/>
  <c r="ET3" i="3"/>
  <c r="ET9" i="3" s="1"/>
  <c r="EQ3" i="3"/>
  <c r="EN3" i="3"/>
  <c r="EN9" i="3" s="1"/>
  <c r="EK3" i="3"/>
  <c r="EH3" i="3"/>
  <c r="EH9" i="3" s="1"/>
  <c r="EE3" i="3"/>
  <c r="EE9" i="3" s="1"/>
  <c r="EB3" i="3"/>
  <c r="DY3" i="3"/>
  <c r="DV3" i="3"/>
  <c r="DV9" i="3" s="1"/>
  <c r="DS3" i="3"/>
  <c r="DP3" i="3"/>
  <c r="DP9" i="3" s="1"/>
  <c r="DM3" i="3"/>
  <c r="DM9" i="3" s="1"/>
  <c r="DG3" i="3"/>
  <c r="DD3" i="3"/>
  <c r="DA3" i="3"/>
  <c r="CX3" i="3"/>
  <c r="CX9" i="3" s="1"/>
  <c r="CU3" i="3"/>
  <c r="CR3" i="3"/>
  <c r="CR9" i="3" s="1"/>
  <c r="CO3" i="3"/>
  <c r="CL3" i="3"/>
  <c r="CL9" i="3" s="1"/>
  <c r="CI3" i="3"/>
  <c r="CF3" i="3"/>
  <c r="CC3" i="3"/>
  <c r="BZ3" i="3"/>
  <c r="BZ9" i="3" s="1"/>
  <c r="BW3" i="3"/>
  <c r="BT3" i="3"/>
  <c r="BT9" i="3" s="1"/>
  <c r="BQ3" i="3"/>
  <c r="BN3" i="3"/>
  <c r="BN9" i="3" s="1"/>
  <c r="BK3" i="3"/>
  <c r="BH3" i="3"/>
  <c r="BE3" i="3"/>
  <c r="V3" i="3"/>
  <c r="V27" i="3" s="1"/>
  <c r="D53" i="2" s="1"/>
  <c r="S3" i="3"/>
  <c r="S27" i="3" s="1"/>
  <c r="J2" i="3"/>
  <c r="J27" i="3" s="1"/>
  <c r="Y37" i="3" l="1"/>
  <c r="E53" i="2"/>
  <c r="Z27" i="3"/>
  <c r="AF27" i="3"/>
  <c r="G53" i="2"/>
  <c r="AB37" i="3"/>
  <c r="AZ3" i="3"/>
  <c r="F55" i="2"/>
  <c r="AB50" i="3"/>
  <c r="EE29" i="3"/>
  <c r="EE33" i="3" s="1"/>
  <c r="EE28" i="3"/>
  <c r="EE27" i="3"/>
  <c r="D18" i="2"/>
  <c r="D28" i="2" s="1"/>
  <c r="D19" i="2"/>
  <c r="EK9" i="3"/>
  <c r="P7" i="2"/>
  <c r="Y39" i="3"/>
  <c r="Y42" i="3"/>
  <c r="P37" i="3"/>
  <c r="P39" i="3" s="1"/>
  <c r="Q27" i="3"/>
  <c r="AR3" i="3" s="1"/>
  <c r="J37" i="3"/>
  <c r="J39" i="3" s="1"/>
  <c r="K27" i="3"/>
  <c r="AN3" i="3" s="1"/>
  <c r="O132" i="3"/>
  <c r="D39" i="3"/>
  <c r="V50" i="3"/>
  <c r="O148" i="3"/>
  <c r="S37" i="3"/>
  <c r="S39" i="3" s="1"/>
  <c r="T27" i="3"/>
  <c r="AT3" i="3" s="1"/>
  <c r="V37" i="3"/>
  <c r="V39" i="3" s="1"/>
  <c r="W27" i="3"/>
  <c r="M37" i="3"/>
  <c r="M39" i="3" s="1"/>
  <c r="N27" i="3"/>
  <c r="AP3" i="3" s="1"/>
  <c r="GC8" i="3"/>
  <c r="GC11" i="3" s="1"/>
  <c r="AB39" i="3"/>
  <c r="Y46" i="3"/>
  <c r="Y48" i="3"/>
  <c r="Y50" i="3" s="1"/>
  <c r="K54" i="3"/>
  <c r="K56" i="3" s="1"/>
  <c r="G37" i="3"/>
  <c r="G39" i="3" s="1"/>
  <c r="AE37" i="3"/>
  <c r="AE39" i="3" s="1"/>
  <c r="AE46" i="3"/>
  <c r="AE50" i="3" s="1"/>
  <c r="AB42" i="3"/>
  <c r="V51" i="3"/>
  <c r="P46" i="3"/>
  <c r="P50" i="3" s="1"/>
  <c r="V46" i="3"/>
  <c r="AV3" i="3" l="1"/>
  <c r="D55" i="2"/>
  <c r="BB3" i="3"/>
  <c r="G55" i="2"/>
  <c r="AX3" i="3"/>
  <c r="E55" i="2"/>
  <c r="K52" i="3"/>
  <c r="K46" i="3"/>
  <c r="O151" i="3"/>
  <c r="O149" i="3"/>
  <c r="K50" i="3" l="1"/>
  <c r="K47" i="3"/>
  <c r="K48" i="3" s="1"/>
  <c r="K58" i="3"/>
  <c r="L72" i="3"/>
  <c r="L78" i="3" s="1"/>
  <c r="E21" i="2" l="1"/>
  <c r="F21" i="2" s="1"/>
  <c r="G21" i="2" s="1"/>
  <c r="H21" i="2" s="1"/>
  <c r="I21" i="2" s="1"/>
  <c r="J21" i="2" s="1"/>
  <c r="K21" i="2" s="1"/>
  <c r="L21" i="2" s="1"/>
  <c r="M21" i="2" s="1"/>
  <c r="N21" i="2" s="1"/>
  <c r="O21" i="2" s="1"/>
  <c r="O20" i="2"/>
  <c r="O24" i="2"/>
  <c r="O28" i="2"/>
  <c r="O29" i="2" s="1"/>
  <c r="O30" i="2" s="1"/>
  <c r="O35" i="2"/>
  <c r="O37" i="2"/>
  <c r="O44" i="2" s="1"/>
  <c r="O40" i="2"/>
  <c r="O54" i="2"/>
  <c r="O56" i="2" s="1"/>
  <c r="O57" i="2"/>
  <c r="O66" i="2" s="1"/>
  <c r="O70" i="2"/>
  <c r="O78" i="2"/>
  <c r="H20" i="2"/>
  <c r="I20" i="2"/>
  <c r="J20" i="2"/>
  <c r="K20" i="2"/>
  <c r="L20" i="2"/>
  <c r="M20" i="2"/>
  <c r="N20" i="2"/>
  <c r="H24" i="2"/>
  <c r="I24" i="2"/>
  <c r="J24" i="2"/>
  <c r="K24" i="2"/>
  <c r="L24" i="2"/>
  <c r="M24" i="2"/>
  <c r="N24" i="2"/>
  <c r="H28" i="2"/>
  <c r="H25" i="2" s="1"/>
  <c r="I28" i="2"/>
  <c r="I25" i="2" s="1"/>
  <c r="J28" i="2"/>
  <c r="J25" i="2" s="1"/>
  <c r="K28" i="2"/>
  <c r="K29" i="2" s="1"/>
  <c r="K30" i="2" s="1"/>
  <c r="L28" i="2"/>
  <c r="L25" i="2" s="1"/>
  <c r="M28" i="2"/>
  <c r="M29" i="2" s="1"/>
  <c r="M30" i="2" s="1"/>
  <c r="N28" i="2"/>
  <c r="N25" i="2" s="1"/>
  <c r="H35" i="2"/>
  <c r="I35" i="2"/>
  <c r="J35" i="2"/>
  <c r="K35" i="2"/>
  <c r="L35" i="2"/>
  <c r="M35" i="2"/>
  <c r="N35" i="2"/>
  <c r="H37" i="2"/>
  <c r="H44" i="2" s="1"/>
  <c r="H41" i="2" s="1"/>
  <c r="I37" i="2"/>
  <c r="I44" i="2" s="1"/>
  <c r="J37" i="2"/>
  <c r="J44" i="2" s="1"/>
  <c r="J41" i="2" s="1"/>
  <c r="K37" i="2"/>
  <c r="K44" i="2" s="1"/>
  <c r="L37" i="2"/>
  <c r="L44" i="2" s="1"/>
  <c r="M37" i="2"/>
  <c r="N37" i="2"/>
  <c r="N44" i="2" s="1"/>
  <c r="N41" i="2" s="1"/>
  <c r="H40" i="2"/>
  <c r="I40" i="2"/>
  <c r="J40" i="2"/>
  <c r="K40" i="2"/>
  <c r="L40" i="2"/>
  <c r="M40" i="2"/>
  <c r="N40" i="2"/>
  <c r="H54" i="2"/>
  <c r="H56" i="2" s="1"/>
  <c r="H65" i="2" s="1"/>
  <c r="I54" i="2"/>
  <c r="I56" i="2" s="1"/>
  <c r="I65" i="2" s="1"/>
  <c r="J54" i="2"/>
  <c r="J56" i="2" s="1"/>
  <c r="J65" i="2" s="1"/>
  <c r="K54" i="2"/>
  <c r="K56" i="2" s="1"/>
  <c r="L54" i="2"/>
  <c r="L56" i="2" s="1"/>
  <c r="L65" i="2" s="1"/>
  <c r="M54" i="2"/>
  <c r="M56" i="2" s="1"/>
  <c r="N54" i="2"/>
  <c r="N56" i="2" s="1"/>
  <c r="N65" i="2" s="1"/>
  <c r="H57" i="2"/>
  <c r="H66" i="2" s="1"/>
  <c r="I57" i="2"/>
  <c r="I66" i="2" s="1"/>
  <c r="J57" i="2"/>
  <c r="J66" i="2" s="1"/>
  <c r="K57" i="2"/>
  <c r="K66" i="2" s="1"/>
  <c r="L57" i="2"/>
  <c r="L66" i="2" s="1"/>
  <c r="M57" i="2"/>
  <c r="M66" i="2" s="1"/>
  <c r="N57" i="2"/>
  <c r="N66" i="2" s="1"/>
  <c r="H70" i="2"/>
  <c r="I70" i="2"/>
  <c r="J70" i="2"/>
  <c r="K70" i="2"/>
  <c r="L70" i="2"/>
  <c r="M70" i="2"/>
  <c r="N70" i="2"/>
  <c r="H78" i="2"/>
  <c r="I78" i="2"/>
  <c r="J78" i="2"/>
  <c r="K78" i="2"/>
  <c r="L78" i="2"/>
  <c r="M78" i="2"/>
  <c r="N78" i="2"/>
  <c r="D54" i="2"/>
  <c r="D29" i="2"/>
  <c r="D30" i="2" s="1"/>
  <c r="E29" i="2"/>
  <c r="E30" i="2" s="1"/>
  <c r="F29" i="2"/>
  <c r="F30" i="2" s="1"/>
  <c r="G29" i="2"/>
  <c r="G30" i="2" s="1"/>
  <c r="E57" i="2"/>
  <c r="E66" i="2" s="1"/>
  <c r="F57" i="2"/>
  <c r="F66" i="2" s="1"/>
  <c r="G57" i="2"/>
  <c r="G66" i="2" s="1"/>
  <c r="D57" i="2"/>
  <c r="D66" i="2" s="1"/>
  <c r="E70" i="2"/>
  <c r="F70" i="2"/>
  <c r="G70" i="2"/>
  <c r="D70" i="2"/>
  <c r="E40" i="2"/>
  <c r="F40" i="2"/>
  <c r="G40" i="2"/>
  <c r="D40" i="2"/>
  <c r="E24" i="2"/>
  <c r="F24" i="2"/>
  <c r="G24" i="2"/>
  <c r="D24" i="2"/>
  <c r="E37" i="2"/>
  <c r="E44" i="2" s="1"/>
  <c r="F37" i="2"/>
  <c r="G37" i="2"/>
  <c r="D37" i="2"/>
  <c r="E20" i="2"/>
  <c r="F20" i="2"/>
  <c r="G20" i="2"/>
  <c r="D20" i="2"/>
  <c r="D104" i="2" l="1"/>
  <c r="D56" i="2"/>
  <c r="F44" i="2"/>
  <c r="F45" i="2" s="1"/>
  <c r="F46" i="2" s="1"/>
  <c r="G44" i="2"/>
  <c r="G41" i="2" s="1"/>
  <c r="G42" i="2" s="1"/>
  <c r="D44" i="2"/>
  <c r="D45" i="2" s="1"/>
  <c r="D46" i="2" s="1"/>
  <c r="I49" i="2"/>
  <c r="I60" i="2" s="1"/>
  <c r="I26" i="2"/>
  <c r="L29" i="2"/>
  <c r="L30" i="2" s="1"/>
  <c r="I29" i="2"/>
  <c r="I30" i="2" s="1"/>
  <c r="I45" i="2"/>
  <c r="I46" i="2" s="1"/>
  <c r="H29" i="2"/>
  <c r="H30" i="2" s="1"/>
  <c r="N26" i="2"/>
  <c r="O25" i="2"/>
  <c r="O26" i="2" s="1"/>
  <c r="N29" i="2"/>
  <c r="N30" i="2" s="1"/>
  <c r="N42" i="2"/>
  <c r="O41" i="2"/>
  <c r="O42" i="2" s="1"/>
  <c r="O45" i="2"/>
  <c r="O49" i="2"/>
  <c r="O60" i="2" s="1"/>
  <c r="O65" i="2"/>
  <c r="M44" i="2"/>
  <c r="M41" i="2" s="1"/>
  <c r="M42" i="2" s="1"/>
  <c r="K25" i="2"/>
  <c r="K26" i="2" s="1"/>
  <c r="N45" i="2"/>
  <c r="H42" i="2"/>
  <c r="I41" i="2"/>
  <c r="I42" i="2" s="1"/>
  <c r="J29" i="2"/>
  <c r="J30" i="2" s="1"/>
  <c r="J45" i="2"/>
  <c r="H26" i="2"/>
  <c r="N49" i="2"/>
  <c r="N60" i="2" s="1"/>
  <c r="H45" i="2"/>
  <c r="H46" i="2" s="1"/>
  <c r="J49" i="2"/>
  <c r="J60" i="2" s="1"/>
  <c r="M25" i="2"/>
  <c r="M26" i="2" s="1"/>
  <c r="L49" i="2"/>
  <c r="L60" i="2" s="1"/>
  <c r="L45" i="2"/>
  <c r="J42" i="2"/>
  <c r="L26" i="2"/>
  <c r="K45" i="2"/>
  <c r="K49" i="2"/>
  <c r="K60" i="2" s="1"/>
  <c r="M65" i="2"/>
  <c r="J26" i="2"/>
  <c r="K65" i="2"/>
  <c r="L41" i="2"/>
  <c r="L42" i="2" s="1"/>
  <c r="K41" i="2"/>
  <c r="K42" i="2" s="1"/>
  <c r="H49" i="2"/>
  <c r="H60" i="2" s="1"/>
  <c r="F25" i="2"/>
  <c r="F26" i="2" s="1"/>
  <c r="E25" i="2"/>
  <c r="E26" i="2" s="1"/>
  <c r="E45" i="2"/>
  <c r="E46" i="2" s="1"/>
  <c r="G25" i="2"/>
  <c r="G26" i="2" s="1"/>
  <c r="D25" i="2"/>
  <c r="D26" i="2" s="1"/>
  <c r="F41" i="2" l="1"/>
  <c r="F42" i="2" s="1"/>
  <c r="F49" i="2"/>
  <c r="F60" i="2" s="1"/>
  <c r="G49" i="2"/>
  <c r="G60" i="2" s="1"/>
  <c r="G45" i="2"/>
  <c r="G46" i="2" s="1"/>
  <c r="M48" i="2"/>
  <c r="I50" i="2"/>
  <c r="I48" i="2"/>
  <c r="I63" i="2" s="1"/>
  <c r="H50" i="2"/>
  <c r="N48" i="2"/>
  <c r="H48" i="2"/>
  <c r="H63" i="2" s="1"/>
  <c r="O48" i="2"/>
  <c r="O63" i="2" s="1"/>
  <c r="O46" i="2"/>
  <c r="O50" i="2"/>
  <c r="M63" i="2"/>
  <c r="M59" i="2"/>
  <c r="N46" i="2"/>
  <c r="N50" i="2"/>
  <c r="M45" i="2"/>
  <c r="M49" i="2"/>
  <c r="M60" i="2" s="1"/>
  <c r="J50" i="2"/>
  <c r="J46" i="2"/>
  <c r="K48" i="2"/>
  <c r="J48" i="2"/>
  <c r="J59" i="2" s="1"/>
  <c r="K46" i="2"/>
  <c r="K50" i="2"/>
  <c r="L46" i="2"/>
  <c r="L50" i="2"/>
  <c r="L48" i="2"/>
  <c r="D49" i="2"/>
  <c r="D60" i="2" s="1"/>
  <c r="E49" i="2"/>
  <c r="E60" i="2" s="1"/>
  <c r="E41" i="2"/>
  <c r="E42" i="2" s="1"/>
  <c r="D41" i="2"/>
  <c r="D42" i="2" s="1"/>
  <c r="D50" i="2"/>
  <c r="D105" i="2" s="1"/>
  <c r="E50" i="2"/>
  <c r="E105" i="2" s="1"/>
  <c r="F50" i="2"/>
  <c r="F105" i="2" s="1"/>
  <c r="F48" i="2"/>
  <c r="F63" i="2" s="1"/>
  <c r="F88" i="2" s="1"/>
  <c r="F96" i="2" s="1"/>
  <c r="G48" i="2"/>
  <c r="G63" i="2" s="1"/>
  <c r="G88" i="2" s="1"/>
  <c r="G96" i="2" s="1"/>
  <c r="J63" i="2" l="1"/>
  <c r="D106" i="2"/>
  <c r="G50" i="2"/>
  <c r="G105" i="2" s="1"/>
  <c r="O59" i="2"/>
  <c r="I59" i="2"/>
  <c r="N63" i="2"/>
  <c r="N59" i="2"/>
  <c r="H59" i="2"/>
  <c r="M50" i="2"/>
  <c r="M46" i="2"/>
  <c r="K63" i="2"/>
  <c r="K59" i="2"/>
  <c r="L63" i="2"/>
  <c r="L59" i="2"/>
  <c r="D48" i="2"/>
  <c r="D63" i="2" s="1"/>
  <c r="D88" i="2" s="1"/>
  <c r="E48" i="2"/>
  <c r="E63" i="2" s="1"/>
  <c r="E88" i="2" s="1"/>
  <c r="E96" i="2" s="1"/>
  <c r="D96" i="2" l="1"/>
  <c r="E35" i="2"/>
  <c r="F35" i="2"/>
  <c r="G35" i="2"/>
  <c r="D35" i="2"/>
  <c r="E54" i="2"/>
  <c r="F54" i="2"/>
  <c r="G54" i="2"/>
  <c r="D65" i="2"/>
  <c r="D89" i="2" s="1"/>
  <c r="D97" i="2" l="1"/>
  <c r="G104" i="2"/>
  <c r="G56" i="2"/>
  <c r="E104" i="2"/>
  <c r="E56" i="2"/>
  <c r="E59" i="2" s="1"/>
  <c r="F104" i="2"/>
  <c r="F56" i="2"/>
  <c r="F65" i="2" s="1"/>
  <c r="F89" i="2" s="1"/>
  <c r="F97" i="2" s="1"/>
  <c r="D59" i="2"/>
  <c r="E14" i="2"/>
  <c r="F14" i="2" s="1"/>
  <c r="G14" i="2" s="1"/>
  <c r="H14" i="2" s="1"/>
  <c r="I14" i="2" s="1"/>
  <c r="J14" i="2" s="1"/>
  <c r="K14" i="2" s="1"/>
  <c r="L14" i="2" s="1"/>
  <c r="M14" i="2" s="1"/>
  <c r="N14" i="2" s="1"/>
  <c r="O14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G65" i="2" l="1"/>
  <c r="G89" i="2" s="1"/>
  <c r="G97" i="2" s="1"/>
  <c r="G59" i="2"/>
  <c r="F106" i="2"/>
  <c r="E106" i="2"/>
  <c r="G106" i="2"/>
  <c r="F59" i="2"/>
  <c r="E65" i="2"/>
  <c r="E89" i="2" s="1"/>
  <c r="E97" i="2" s="1"/>
  <c r="D5" i="2"/>
  <c r="D4" i="2"/>
  <c r="D75" i="2" s="1"/>
  <c r="D68" i="2"/>
  <c r="D69" i="2" s="1"/>
  <c r="D78" i="2" l="1"/>
  <c r="D71" i="2"/>
  <c r="D90" i="2"/>
  <c r="H5" i="2"/>
  <c r="J68" i="2"/>
  <c r="J69" i="2" s="1"/>
  <c r="J71" i="2" s="1"/>
  <c r="J72" i="2" s="1"/>
  <c r="J2" i="2" s="1"/>
  <c r="M68" i="2"/>
  <c r="M69" i="2" s="1"/>
  <c r="M71" i="2" s="1"/>
  <c r="O68" i="2"/>
  <c r="O69" i="2" s="1"/>
  <c r="O71" i="2" s="1"/>
  <c r="E68" i="2"/>
  <c r="E69" i="2" s="1"/>
  <c r="F68" i="2"/>
  <c r="F69" i="2" s="1"/>
  <c r="G68" i="2"/>
  <c r="G69" i="2" s="1"/>
  <c r="O4" i="2"/>
  <c r="O5" i="2"/>
  <c r="H4" i="2"/>
  <c r="H68" i="2"/>
  <c r="H69" i="2" s="1"/>
  <c r="H71" i="2" s="1"/>
  <c r="F4" i="2"/>
  <c r="F75" i="2" s="1"/>
  <c r="F5" i="2"/>
  <c r="M4" i="2"/>
  <c r="M5" i="2"/>
  <c r="I5" i="2"/>
  <c r="N68" i="2"/>
  <c r="N69" i="2" s="1"/>
  <c r="N71" i="2" s="1"/>
  <c r="K68" i="2"/>
  <c r="K69" i="2" s="1"/>
  <c r="K71" i="2" s="1"/>
  <c r="N4" i="2"/>
  <c r="N5" i="2"/>
  <c r="K4" i="2"/>
  <c r="K5" i="2"/>
  <c r="E4" i="2"/>
  <c r="E75" i="2" s="1"/>
  <c r="E5" i="2"/>
  <c r="G4" i="2"/>
  <c r="G75" i="2" s="1"/>
  <c r="G5" i="2"/>
  <c r="L5" i="2"/>
  <c r="J4" i="2"/>
  <c r="J5" i="2"/>
  <c r="I4" i="2"/>
  <c r="I68" i="2"/>
  <c r="I69" i="2" s="1"/>
  <c r="I71" i="2" s="1"/>
  <c r="L4" i="2"/>
  <c r="L68" i="2"/>
  <c r="L69" i="2" s="1"/>
  <c r="L71" i="2" s="1"/>
  <c r="D91" i="2" l="1"/>
  <c r="D99" i="2" s="1"/>
  <c r="D108" i="2"/>
  <c r="D98" i="2"/>
  <c r="G78" i="2"/>
  <c r="E78" i="2"/>
  <c r="D81" i="2"/>
  <c r="D82" i="2" s="1"/>
  <c r="D93" i="2" s="1"/>
  <c r="F78" i="2"/>
  <c r="D72" i="2"/>
  <c r="D2" i="2" s="1"/>
  <c r="G71" i="2"/>
  <c r="G90" i="2"/>
  <c r="G98" i="2" s="1"/>
  <c r="E71" i="2"/>
  <c r="E90" i="2"/>
  <c r="E98" i="2" s="1"/>
  <c r="F71" i="2"/>
  <c r="F90" i="2"/>
  <c r="F98" i="2" s="1"/>
  <c r="D87" i="2"/>
  <c r="J81" i="2"/>
  <c r="J82" i="2" s="1"/>
  <c r="I81" i="2"/>
  <c r="I82" i="2" s="1"/>
  <c r="I72" i="2"/>
  <c r="I2" i="2" s="1"/>
  <c r="H81" i="2"/>
  <c r="H82" i="2" s="1"/>
  <c r="H72" i="2"/>
  <c r="H2" i="2" s="1"/>
  <c r="M72" i="2"/>
  <c r="M2" i="2" s="1"/>
  <c r="M81" i="2"/>
  <c r="M82" i="2" s="1"/>
  <c r="K72" i="2"/>
  <c r="K2" i="2" s="1"/>
  <c r="K81" i="2"/>
  <c r="K82" i="2" s="1"/>
  <c r="N72" i="2"/>
  <c r="N2" i="2" s="1"/>
  <c r="N81" i="2"/>
  <c r="N82" i="2" s="1"/>
  <c r="O72" i="2"/>
  <c r="O2" i="2" s="1"/>
  <c r="O81" i="2"/>
  <c r="O82" i="2" s="1"/>
  <c r="L81" i="2"/>
  <c r="L82" i="2" s="1"/>
  <c r="L72" i="2"/>
  <c r="L2" i="2" s="1"/>
  <c r="F91" i="2" l="1"/>
  <c r="F99" i="2" s="1"/>
  <c r="F108" i="2"/>
  <c r="E91" i="2"/>
  <c r="E99" i="2" s="1"/>
  <c r="E108" i="2"/>
  <c r="G91" i="2"/>
  <c r="G99" i="2" s="1"/>
  <c r="G108" i="2"/>
  <c r="D101" i="2"/>
  <c r="D95" i="2"/>
  <c r="D92" i="2"/>
  <c r="D100" i="2" s="1"/>
  <c r="G87" i="2"/>
  <c r="G95" i="2" s="1"/>
  <c r="F87" i="2"/>
  <c r="F95" i="2" s="1"/>
  <c r="F72" i="2"/>
  <c r="F2" i="2" s="1"/>
  <c r="E87" i="2"/>
  <c r="E95" i="2" s="1"/>
  <c r="E72" i="2"/>
  <c r="E2" i="2" s="1"/>
  <c r="G81" i="2"/>
  <c r="G72" i="2"/>
  <c r="G2" i="2" s="1"/>
  <c r="F81" i="2"/>
  <c r="E81" i="2"/>
  <c r="P81" i="2" l="1"/>
  <c r="P82" i="2" s="1"/>
  <c r="E82" i="2"/>
  <c r="E93" i="2" s="1"/>
  <c r="E101" i="2" s="1"/>
  <c r="E92" i="2"/>
  <c r="E100" i="2" s="1"/>
  <c r="F82" i="2"/>
  <c r="F93" i="2" s="1"/>
  <c r="F101" i="2" s="1"/>
  <c r="F92" i="2"/>
  <c r="F100" i="2" s="1"/>
  <c r="G82" i="2"/>
  <c r="G93" i="2" s="1"/>
  <c r="G101" i="2" s="1"/>
  <c r="G92" i="2"/>
  <c r="G10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Almeida</author>
  </authors>
  <commentList>
    <comment ref="D16" authorId="0" shapeId="0" xr:uid="{CC740BD7-D28C-46DE-9769-534A2C1BA216}">
      <text>
        <r>
          <rPr>
            <b/>
            <sz val="9"/>
            <color indexed="81"/>
            <rFont val="Tahoma"/>
            <family val="2"/>
          </rPr>
          <t>Eduardo Almeida:</t>
        </r>
        <r>
          <rPr>
            <sz val="9"/>
            <color indexed="81"/>
            <rFont val="Tahoma"/>
            <family val="2"/>
          </rPr>
          <t xml:space="preserve">
BGIZ25</t>
        </r>
      </text>
    </comment>
    <comment ref="E16" authorId="0" shapeId="0" xr:uid="{685B3976-BAEA-4949-B22D-76577873B1B6}">
      <text>
        <r>
          <rPr>
            <b/>
            <sz val="9"/>
            <color indexed="81"/>
            <rFont val="Tahoma"/>
            <family val="2"/>
          </rPr>
          <t>Eduardo Almeida:</t>
        </r>
        <r>
          <rPr>
            <sz val="9"/>
            <color indexed="81"/>
            <rFont val="Tahoma"/>
            <family val="2"/>
          </rPr>
          <t xml:space="preserve">
BGIF26</t>
        </r>
      </text>
    </comment>
    <comment ref="F16" authorId="0" shapeId="0" xr:uid="{E4B1998B-2CED-49F2-87B1-5DDF95CBB1F4}">
      <text>
        <r>
          <rPr>
            <b/>
            <sz val="9"/>
            <color indexed="81"/>
            <rFont val="Tahoma"/>
            <family val="2"/>
          </rPr>
          <t>Eduardo Almeida:</t>
        </r>
        <r>
          <rPr>
            <sz val="9"/>
            <color indexed="81"/>
            <rFont val="Tahoma"/>
            <family val="2"/>
          </rPr>
          <t xml:space="preserve">
BGIG26</t>
        </r>
      </text>
    </comment>
    <comment ref="G16" authorId="0" shapeId="0" xr:uid="{C09194DC-2B1D-4099-B55F-037F62182599}">
      <text>
        <r>
          <rPr>
            <b/>
            <sz val="9"/>
            <color indexed="81"/>
            <rFont val="Tahoma"/>
            <family val="2"/>
          </rPr>
          <t>Eduardo Almeida:</t>
        </r>
        <r>
          <rPr>
            <sz val="9"/>
            <color indexed="81"/>
            <rFont val="Tahoma"/>
            <family val="2"/>
          </rPr>
          <t xml:space="preserve">
BGIH26</t>
        </r>
      </text>
    </comment>
    <comment ref="B75" authorId="0" shapeId="0" xr:uid="{3BA99ED6-9286-4DDF-9020-48FBECCB2DAB}">
      <text>
        <r>
          <rPr>
            <b/>
            <sz val="9"/>
            <color indexed="81"/>
            <rFont val="Tahoma"/>
            <family val="2"/>
          </rPr>
          <t>Eduardo Almeida:</t>
        </r>
        <r>
          <rPr>
            <sz val="9"/>
            <color indexed="81"/>
            <rFont val="Tahoma"/>
            <family val="2"/>
          </rPr>
          <t xml:space="preserve">
Média</t>
        </r>
      </text>
    </comment>
    <comment ref="B76" authorId="0" shapeId="0" xr:uid="{7CCE3BFF-2634-47F3-B149-25CB71C5A01C}">
      <text>
        <r>
          <rPr>
            <b/>
            <sz val="9"/>
            <color indexed="81"/>
            <rFont val="Tahoma"/>
            <family val="2"/>
          </rPr>
          <t>Eduardo Almeida:</t>
        </r>
        <r>
          <rPr>
            <sz val="9"/>
            <color indexed="81"/>
            <rFont val="Tahoma"/>
            <family val="2"/>
          </rPr>
          <t xml:space="preserve">
A ajustar</t>
        </r>
      </text>
    </comment>
    <comment ref="B77" authorId="0" shapeId="0" xr:uid="{CB58D937-0CAC-46D2-A04B-94786B5C9F9B}">
      <text>
        <r>
          <rPr>
            <b/>
            <sz val="9"/>
            <color indexed="81"/>
            <rFont val="Tahoma"/>
            <family val="2"/>
          </rPr>
          <t>Eduardo Almeida:</t>
        </r>
        <r>
          <rPr>
            <sz val="9"/>
            <color indexed="81"/>
            <rFont val="Tahoma"/>
            <family val="2"/>
          </rPr>
          <t xml:space="preserve">
A ajustar</t>
        </r>
      </text>
    </comment>
    <comment ref="B79" authorId="0" shapeId="0" xr:uid="{0611798A-7EEF-49B8-9344-C2A1258FCC9B}">
      <text>
        <r>
          <rPr>
            <b/>
            <sz val="9"/>
            <color indexed="81"/>
            <rFont val="Tahoma"/>
            <family val="2"/>
          </rPr>
          <t>Eduardo Almeida:</t>
        </r>
        <r>
          <rPr>
            <sz val="9"/>
            <color indexed="81"/>
            <rFont val="Tahoma"/>
            <family val="2"/>
          </rPr>
          <t xml:space="preserve">
A ajustar</t>
        </r>
      </text>
    </comment>
    <comment ref="B84" authorId="0" shapeId="0" xr:uid="{EAB61547-C48D-4420-B3EB-AE8F908FBF5E}">
      <text>
        <r>
          <rPr>
            <b/>
            <sz val="9"/>
            <color indexed="81"/>
            <rFont val="Tahoma"/>
            <family val="2"/>
          </rPr>
          <t>Eduardo Almeida:</t>
        </r>
        <r>
          <rPr>
            <sz val="9"/>
            <color indexed="81"/>
            <rFont val="Tahoma"/>
            <family val="2"/>
          </rPr>
          <t xml:space="preserve">
DRE</t>
        </r>
      </text>
    </comment>
    <comment ref="B85" authorId="0" shapeId="0" xr:uid="{436839EF-A9F8-4344-A216-2639BF579CD7}">
      <text>
        <r>
          <rPr>
            <b/>
            <sz val="9"/>
            <color indexed="81"/>
            <rFont val="Tahoma"/>
            <family val="2"/>
          </rPr>
          <t>Eduardo Almeida:</t>
        </r>
        <r>
          <rPr>
            <sz val="9"/>
            <color indexed="81"/>
            <rFont val="Tahoma"/>
            <family val="2"/>
          </rPr>
          <t xml:space="preserve">
DRE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ARTHUR</author>
    <author>Arthur Villas Boas</author>
  </authors>
  <commentList>
    <comment ref="K3" authorId="0" shapeId="0" xr:uid="{FD289519-8C51-471F-929E-9C30F17939D1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25 lotes ao preço de 330, rolado para julho com -4,9</t>
        </r>
      </text>
    </comment>
    <comment ref="N3" authorId="0" shapeId="0" xr:uid="{E63A81B9-F4A7-4762-A8E7-57F955253FF8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50 lotes ao preço de 330, rolado para setembro, com -7</t>
        </r>
      </text>
    </comment>
    <comment ref="AR3" authorId="0" shapeId="0" xr:uid="{1316710B-2354-4BB1-8112-5693BC1FB6C4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adicionado pnl boi U</t>
        </r>
      </text>
    </comment>
    <comment ref="H4" authorId="0" shapeId="0" xr:uid="{1EA2AD4A-EA91-4F8A-8D07-E4BA8E3D7E9F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-50 @ 330 
-50 @ 330
Rolado com - 5,53 de agosto para Julho</t>
        </r>
      </text>
    </comment>
    <comment ref="N4" authorId="0" shapeId="0" xr:uid="{9EB04E88-5CED-46D8-8EA6-99DAD2F7E8DF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50 lotes ao preço de 330, rolado para setembro, com -6,61</t>
        </r>
      </text>
    </comment>
    <comment ref="H5" authorId="0" shapeId="0" xr:uid="{26FA777B-A060-4B12-A27B-4383942E2E3C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Rolagem de 25 Agosto para Julho no preço 330,4</t>
        </r>
      </text>
    </comment>
    <comment ref="K11" authorId="0" shapeId="0" xr:uid="{9F15691D-0EA7-443E-8204-4F393CF8C221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-50@340,21
-50@333
Rolado com -12,25 de Oct para Agosto</t>
        </r>
      </text>
    </comment>
    <comment ref="BE11" authorId="0" shapeId="0" xr:uid="{F0F5B3AB-59D9-40E9-99B9-EDE6628326B8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-10k Delta</t>
        </r>
      </text>
    </comment>
    <comment ref="BQ11" authorId="0" shapeId="0" xr:uid="{D1A9F6CE-0C83-4168-B9AE-4ED6865FD0CF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Adicionado 26k, delta futuro</t>
        </r>
      </text>
    </comment>
    <comment ref="L13" authorId="0" shapeId="0" xr:uid="{1AB021B9-3E03-440C-9B75-006868DFE871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Rolagem do exercício de Puts, delta zerado antecipado @303</t>
        </r>
      </text>
    </comment>
    <comment ref="K16" authorId="0" shapeId="0" xr:uid="{60B7B863-430F-4B29-A97A-729A3236EC2F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50 lotes ao preço de 330, rolado para setembro, com -7
Ajustado rolagem para Agosto, no mesmo preço
45 Lotes Rolado para Set com +7,5</t>
        </r>
      </text>
    </comment>
    <comment ref="Q20" authorId="0" shapeId="0" xr:uid="{38D02C45-183A-46BA-B335-970276791E0A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50 lotes ao preço de 330, rolado para Setembro com -7</t>
        </r>
      </text>
    </comment>
    <comment ref="AB27" authorId="0" shapeId="0" xr:uid="{8D8EF45F-8519-4F40-AD0E-2C6FE492865E}">
      <text>
        <r>
          <rPr>
            <b/>
            <sz val="9"/>
            <color indexed="81"/>
            <rFont val="Segoe UI"/>
            <family val="2"/>
          </rPr>
          <t>ARTHUR:</t>
        </r>
        <r>
          <rPr>
            <sz val="9"/>
            <color indexed="81"/>
            <rFont val="Segoe UI"/>
            <family val="2"/>
          </rPr>
          <t xml:space="preserve">
DIA 22/11: 225 @ 336,15 lotes transferidos para o Minerva, para serem rolados para Março
Dia 2/12: Rolagem para Março de 57 lotes, com 0,5 negativo</t>
        </r>
      </text>
    </comment>
    <comment ref="Y41" authorId="1" shapeId="0" xr:uid="{2B4C9467-AB9E-4210-9CB1-E85CD2B18D6D}">
      <text>
        <r>
          <rPr>
            <b/>
            <sz val="9"/>
            <color indexed="81"/>
            <rFont val="Segoe UI"/>
            <family val="2"/>
          </rPr>
          <t>Arthur Villas Boas:</t>
        </r>
        <r>
          <rPr>
            <sz val="9"/>
            <color indexed="81"/>
            <rFont val="Segoe UI"/>
            <family val="2"/>
          </rPr>
          <t xml:space="preserve">
Incluido Operação Boitel / Crédito</t>
        </r>
      </text>
    </comment>
    <comment ref="AB41" authorId="1" shapeId="0" xr:uid="{54235A72-0341-4D78-A48F-E62B6084464F}">
      <text>
        <r>
          <rPr>
            <b/>
            <sz val="9"/>
            <color indexed="81"/>
            <rFont val="Segoe UI"/>
            <family val="2"/>
          </rPr>
          <t>Arthur Villas Boas:</t>
        </r>
        <r>
          <rPr>
            <sz val="9"/>
            <color indexed="81"/>
            <rFont val="Segoe UI"/>
            <family val="2"/>
          </rPr>
          <t xml:space="preserve">
Incluido Novas Compras de 700 cab</t>
        </r>
      </text>
    </comment>
    <comment ref="AE41" authorId="1" shapeId="0" xr:uid="{2A738797-1831-41B7-8EEA-D277A816E088}">
      <text>
        <r>
          <rPr>
            <b/>
            <sz val="9"/>
            <color indexed="81"/>
            <rFont val="Segoe UI"/>
            <family val="2"/>
          </rPr>
          <t>Arthur Villas Boas:</t>
        </r>
        <r>
          <rPr>
            <sz val="9"/>
            <color indexed="81"/>
            <rFont val="Segoe UI"/>
            <family val="2"/>
          </rPr>
          <t xml:space="preserve">
Incluido Descarte TO 2000;  Descarte SJGO 2000; Descarte MS, Vacas já SJSP 1000</t>
        </r>
      </text>
    </comment>
  </commentList>
</comments>
</file>

<file path=xl/sharedStrings.xml><?xml version="1.0" encoding="utf-8"?>
<sst xmlns="http://schemas.openxmlformats.org/spreadsheetml/2006/main" count="925" uniqueCount="298">
  <si>
    <t>@</t>
  </si>
  <si>
    <t>Arrobas comprados</t>
  </si>
  <si>
    <t>Arrobas produzidos</t>
  </si>
  <si>
    <t>Arrobas totais</t>
  </si>
  <si>
    <t>Gado</t>
  </si>
  <si>
    <t>Vendas</t>
  </si>
  <si>
    <t>Call</t>
  </si>
  <si>
    <t>Prêmio</t>
  </si>
  <si>
    <t>Data do strike</t>
  </si>
  <si>
    <t>Preço no strike</t>
  </si>
  <si>
    <t>Preço de strike</t>
  </si>
  <si>
    <t>Resultado</t>
  </si>
  <si>
    <t>R$/@</t>
  </si>
  <si>
    <t>data</t>
  </si>
  <si>
    <t>Contratos</t>
  </si>
  <si>
    <t>un</t>
  </si>
  <si>
    <t>Put</t>
  </si>
  <si>
    <t>Resultado call e put</t>
  </si>
  <si>
    <t>Mercado futuro</t>
  </si>
  <si>
    <t>Arrobas vendidos</t>
  </si>
  <si>
    <t>Conversão contratos -&gt; arrobas</t>
  </si>
  <si>
    <t>x</t>
  </si>
  <si>
    <t>Resultado mercado futuro</t>
  </si>
  <si>
    <t>R$</t>
  </si>
  <si>
    <t>Receita prêmio</t>
  </si>
  <si>
    <t>Resultado preço</t>
  </si>
  <si>
    <t>Posição em arrobas</t>
  </si>
  <si>
    <t>Preço médio</t>
  </si>
  <si>
    <t>Resultado call, put e mercado futuro</t>
  </si>
  <si>
    <t>Posição call, put e mercado futuro</t>
  </si>
  <si>
    <t>Posição call e put</t>
  </si>
  <si>
    <t>Posição</t>
  </si>
  <si>
    <t>Receita</t>
  </si>
  <si>
    <t>Custo do exercício</t>
  </si>
  <si>
    <t>Posição mercado físico</t>
  </si>
  <si>
    <t>Preço médio mercado futuro</t>
  </si>
  <si>
    <t>Receita físico</t>
  </si>
  <si>
    <t>Preço de venda</t>
  </si>
  <si>
    <t>Custos</t>
  </si>
  <si>
    <t>Resultado por cabeça</t>
  </si>
  <si>
    <t>R$/cb</t>
  </si>
  <si>
    <t>Cabeças</t>
  </si>
  <si>
    <t>cb</t>
  </si>
  <si>
    <t>Preço médio físico</t>
  </si>
  <si>
    <t>Preço no fechamento</t>
  </si>
  <si>
    <t>Maio_25</t>
  </si>
  <si>
    <t>Jun_25</t>
  </si>
  <si>
    <t>Jul_25</t>
  </si>
  <si>
    <t>Ago_25</t>
  </si>
  <si>
    <t>Set_25</t>
  </si>
  <si>
    <t>Oct_25</t>
  </si>
  <si>
    <t>Nov_25</t>
  </si>
  <si>
    <t>Dez_25</t>
  </si>
  <si>
    <t>Jan_26</t>
  </si>
  <si>
    <t>Fev_26</t>
  </si>
  <si>
    <t>Mar_26</t>
  </si>
  <si>
    <t>pnl mai_24</t>
  </si>
  <si>
    <t>pnl Jun_24</t>
  </si>
  <si>
    <t>pnl jul_24</t>
  </si>
  <si>
    <t>pnl_ago_24</t>
  </si>
  <si>
    <t>pnl_set_24</t>
  </si>
  <si>
    <t>pnl_oct_24</t>
  </si>
  <si>
    <t>pnl_nov_24</t>
  </si>
  <si>
    <t>pnl_dez_24</t>
  </si>
  <si>
    <t>pnl_jan_25</t>
  </si>
  <si>
    <t>pnl_fev_25</t>
  </si>
  <si>
    <t>pnl_mar_25</t>
  </si>
  <si>
    <t>Call_Jun_315</t>
  </si>
  <si>
    <t>Put_Jun_315</t>
  </si>
  <si>
    <t>Call_Jul_330</t>
  </si>
  <si>
    <t>Put_Jul_330</t>
  </si>
  <si>
    <t>Put_Aug_325</t>
  </si>
  <si>
    <t>Call_Aug_335</t>
  </si>
  <si>
    <t>Call_Aug_325</t>
  </si>
  <si>
    <t>Put_Set_330</t>
  </si>
  <si>
    <t>Call_Set_330</t>
  </si>
  <si>
    <t>Call_Oct_248</t>
  </si>
  <si>
    <t>Put_Oct_330</t>
  </si>
  <si>
    <t>Call_Oct_355</t>
  </si>
  <si>
    <t>Put_Oct_235</t>
  </si>
  <si>
    <t>Call_Oct_370</t>
  </si>
  <si>
    <t>Call_Oct_250</t>
  </si>
  <si>
    <t>Put_Oct_257</t>
  </si>
  <si>
    <t>Call_Oct_262</t>
  </si>
  <si>
    <t>Put_Nov_320</t>
  </si>
  <si>
    <t>Call_Nov_340</t>
  </si>
  <si>
    <t>Put_Nov_235</t>
  </si>
  <si>
    <t>Call_Nov_245</t>
  </si>
  <si>
    <t>Put_Dez_320</t>
  </si>
  <si>
    <t>Call_Dez_335</t>
  </si>
  <si>
    <t>Put_Dez_275</t>
  </si>
  <si>
    <t>Put_Dez_297</t>
  </si>
  <si>
    <t>Call_Dez_310</t>
  </si>
  <si>
    <t>Put_Jan_320</t>
  </si>
  <si>
    <t>Call_Jan_335</t>
  </si>
  <si>
    <t>Put_Feb_325</t>
  </si>
  <si>
    <t>Call_Feb_335</t>
  </si>
  <si>
    <t>Call_Mar_335</t>
  </si>
  <si>
    <t>Put_Mar_325</t>
  </si>
  <si>
    <t>Minerva</t>
  </si>
  <si>
    <t>termo/rolagem</t>
  </si>
  <si>
    <t>BTG</t>
  </si>
  <si>
    <t>termo/Minerva</t>
  </si>
  <si>
    <t>boitel Eloi</t>
  </si>
  <si>
    <t>BTG / Exercício</t>
  </si>
  <si>
    <t>boitel gustavo</t>
  </si>
  <si>
    <t>Spot</t>
  </si>
  <si>
    <t>Rolagem/Agosto</t>
  </si>
  <si>
    <t>próprio</t>
  </si>
  <si>
    <t>zerado</t>
  </si>
  <si>
    <t>Posição Física_Max + Estoques</t>
  </si>
  <si>
    <t>Posição Hedge_Max</t>
  </si>
  <si>
    <t>Valores Bolsa Alocado</t>
  </si>
  <si>
    <t>boitel/Gustavo</t>
  </si>
  <si>
    <t>200 lotes direto</t>
  </si>
  <si>
    <t>Notional</t>
  </si>
  <si>
    <t>Cab</t>
  </si>
  <si>
    <t>Cts</t>
  </si>
  <si>
    <t>Data</t>
  </si>
  <si>
    <t>Confinamento</t>
  </si>
  <si>
    <t>qtd cab</t>
  </si>
  <si>
    <t>valor/cab</t>
  </si>
  <si>
    <t>valor $</t>
  </si>
  <si>
    <t>historico</t>
  </si>
  <si>
    <t>BTG / Exercício/Rol Aug</t>
  </si>
  <si>
    <t>verificar posição no jul</t>
  </si>
  <si>
    <t>corretora terra/frigol</t>
  </si>
  <si>
    <t>com Frigol</t>
  </si>
  <si>
    <t>(@) Média</t>
  </si>
  <si>
    <t>São Judas</t>
  </si>
  <si>
    <t>Proprio - Pula Ano</t>
  </si>
  <si>
    <t>Posição Hedge_Atual</t>
  </si>
  <si>
    <t>Cab_Estoque</t>
  </si>
  <si>
    <t>PnL</t>
  </si>
  <si>
    <t>Saldo Hedge</t>
  </si>
  <si>
    <t>rolagem/Oct</t>
  </si>
  <si>
    <t>Premio</t>
  </si>
  <si>
    <t>(@) TOTAL</t>
  </si>
  <si>
    <t>liquidada</t>
  </si>
  <si>
    <t>ok</t>
  </si>
  <si>
    <t>verificar posição no Aug</t>
  </si>
  <si>
    <t>verificar posição rolada pra Set</t>
  </si>
  <si>
    <t>IR TRADE</t>
  </si>
  <si>
    <t>Abril</t>
  </si>
  <si>
    <t>Maio</t>
  </si>
  <si>
    <t>Junho</t>
  </si>
  <si>
    <t>Julho</t>
  </si>
  <si>
    <t>Agosto</t>
  </si>
  <si>
    <t>Setembro</t>
  </si>
  <si>
    <t>Outubro</t>
  </si>
  <si>
    <t>Delta</t>
  </si>
  <si>
    <t>Delta Calls</t>
  </si>
  <si>
    <t>Delta Puts</t>
  </si>
  <si>
    <t>Futuro</t>
  </si>
  <si>
    <t>Abr - Jul</t>
  </si>
  <si>
    <t>Delta Geral</t>
  </si>
  <si>
    <t>Alocado</t>
  </si>
  <si>
    <t>(@) Físico</t>
  </si>
  <si>
    <t>Set + Oct</t>
  </si>
  <si>
    <t>Oct</t>
  </si>
  <si>
    <t>Dez</t>
  </si>
  <si>
    <t>DELTA GERAL</t>
  </si>
  <si>
    <t>Orcado</t>
  </si>
  <si>
    <t>(@)</t>
  </si>
  <si>
    <t>Mkt</t>
  </si>
  <si>
    <t>Posição Atual</t>
  </si>
  <si>
    <t>Posição Físico</t>
  </si>
  <si>
    <t>book</t>
  </si>
  <si>
    <t>corretora</t>
  </si>
  <si>
    <t>Div01</t>
  </si>
  <si>
    <t>fut</t>
  </si>
  <si>
    <t>op</t>
  </si>
  <si>
    <t>OxR</t>
  </si>
  <si>
    <t>SJSP</t>
  </si>
  <si>
    <t>feito</t>
  </si>
  <si>
    <t>saldo</t>
  </si>
  <si>
    <t>Primeiro Giro</t>
  </si>
  <si>
    <t>Segundo Giro</t>
  </si>
  <si>
    <t>Terceiro Giro</t>
  </si>
  <si>
    <t>PD</t>
  </si>
  <si>
    <t>Saldo de Abates</t>
  </si>
  <si>
    <t>Alocação Fut Compras</t>
  </si>
  <si>
    <t>Saldo</t>
  </si>
  <si>
    <t>Alocação Fut</t>
  </si>
  <si>
    <t>pnl</t>
  </si>
  <si>
    <t>Exposição (@) Físico</t>
  </si>
  <si>
    <t>Exposição Hedge</t>
  </si>
  <si>
    <t>spot</t>
  </si>
  <si>
    <t>Delta Exposição (@)</t>
  </si>
  <si>
    <t>Exposição $</t>
  </si>
  <si>
    <t>Receita Orçada GIRO1</t>
  </si>
  <si>
    <t>agosto</t>
  </si>
  <si>
    <t>Receita Valor de Mercado</t>
  </si>
  <si>
    <t>setembro</t>
  </si>
  <si>
    <t>outubro</t>
  </si>
  <si>
    <t>Delta Receita</t>
  </si>
  <si>
    <t>Novembro</t>
  </si>
  <si>
    <t>Posição ATIVA</t>
  </si>
  <si>
    <t>Posição Passiva</t>
  </si>
  <si>
    <t>Boi Magro</t>
  </si>
  <si>
    <t>epoca de compra de boi magro</t>
  </si>
  <si>
    <t>risco - receptor de gado, gestao de corretores  (Formar + alguém)</t>
  </si>
  <si>
    <t>Qtd</t>
  </si>
  <si>
    <t>Energia</t>
  </si>
  <si>
    <t>total de energia consumida x produção própria</t>
  </si>
  <si>
    <t>risco - transporte / logistica - contrato</t>
  </si>
  <si>
    <t>Peso</t>
  </si>
  <si>
    <t>Proteina</t>
  </si>
  <si>
    <t>como comercializar o milho safrinha vis a vis a demanda de milho</t>
  </si>
  <si>
    <t>risco interno dos animais sairem da propriedade</t>
  </si>
  <si>
    <t>Preço</t>
  </si>
  <si>
    <t>Volumoso</t>
  </si>
  <si>
    <t>clima</t>
  </si>
  <si>
    <t>regularizar possívies riscos ambientais - Lagos de contenção</t>
  </si>
  <si>
    <t>M.O</t>
  </si>
  <si>
    <t>gestao de pessoas, indicadores - exposição a combustivel / peças</t>
  </si>
  <si>
    <t>Máquinas</t>
  </si>
  <si>
    <t>adequação disponibilidade x necessidades (back up)</t>
  </si>
  <si>
    <t>Despesas</t>
  </si>
  <si>
    <t>estocagem dos insumos sanitários</t>
  </si>
  <si>
    <t>risco de desempenho, gestao do processamento dos insumos</t>
  </si>
  <si>
    <t>EBITDA Projetado</t>
  </si>
  <si>
    <t>risco de distribuição de trato</t>
  </si>
  <si>
    <t>risco de apartação</t>
  </si>
  <si>
    <t>relação de troca bezerro x boi magro (mercado)</t>
  </si>
  <si>
    <t>% de animais próprios (reposição confinamento)</t>
  </si>
  <si>
    <t>K</t>
  </si>
  <si>
    <t>preço</t>
  </si>
  <si>
    <t>indexado em @ x travas</t>
  </si>
  <si>
    <t>ciclo pecuário</t>
  </si>
  <si>
    <t>travas frigo x travas bolsa</t>
  </si>
  <si>
    <t>Interest</t>
  </si>
  <si>
    <t>premios - documentação/rastreabilidade</t>
  </si>
  <si>
    <t>Agropecuaria Pau Dalho Ltda</t>
  </si>
  <si>
    <t>JB</t>
  </si>
  <si>
    <t>009/2024</t>
  </si>
  <si>
    <t>SIM</t>
  </si>
  <si>
    <t>F25</t>
  </si>
  <si>
    <t>011/2024</t>
  </si>
  <si>
    <t>TO</t>
  </si>
  <si>
    <t>010/2024</t>
  </si>
  <si>
    <t>G25</t>
  </si>
  <si>
    <t>estoque cria</t>
  </si>
  <si>
    <t>qtd</t>
  </si>
  <si>
    <t xml:space="preserve"> Peso Futuro</t>
  </si>
  <si>
    <t>Bezerras</t>
  </si>
  <si>
    <t>Novilhas</t>
  </si>
  <si>
    <t>Vacas</t>
  </si>
  <si>
    <t>012/2024</t>
  </si>
  <si>
    <t>Desmama</t>
  </si>
  <si>
    <t>H25</t>
  </si>
  <si>
    <t>Bezerros</t>
  </si>
  <si>
    <t>007/2024 - fizemos um ajuste financeiro de +5,61/@ devido a liquidação financeira da outra trava de z24 (317,50)</t>
  </si>
  <si>
    <t>Z24</t>
  </si>
  <si>
    <t>MS</t>
  </si>
  <si>
    <t>GO</t>
  </si>
  <si>
    <t>Estoque Total</t>
  </si>
  <si>
    <t>Valor (@)</t>
  </si>
  <si>
    <t>Financeiro</t>
  </si>
  <si>
    <t>Prêmio médio</t>
  </si>
  <si>
    <t>Put dez</t>
  </si>
  <si>
    <t>Call dez</t>
  </si>
  <si>
    <t>Compra</t>
  </si>
  <si>
    <t>Abate</t>
  </si>
  <si>
    <t>Aquisição</t>
  </si>
  <si>
    <t>Hedge</t>
  </si>
  <si>
    <t>Call e put</t>
  </si>
  <si>
    <t>Put jan</t>
  </si>
  <si>
    <t>Call jan</t>
  </si>
  <si>
    <t>Put fev</t>
  </si>
  <si>
    <t>Call fev</t>
  </si>
  <si>
    <t>Put mar</t>
  </si>
  <si>
    <t>Call mar</t>
  </si>
  <si>
    <t>Comprado</t>
  </si>
  <si>
    <t>Hedge futuro</t>
  </si>
  <si>
    <t>Hedge call e put</t>
  </si>
  <si>
    <t>Exposição</t>
  </si>
  <si>
    <t>Nutrição, sanitário e manutenção</t>
  </si>
  <si>
    <t>Fixos</t>
  </si>
  <si>
    <t>Vendas físico</t>
  </si>
  <si>
    <t>%</t>
  </si>
  <si>
    <t>Total</t>
  </si>
  <si>
    <t>Receita cenário @ 350</t>
  </si>
  <si>
    <t>Receita cenário @ 300</t>
  </si>
  <si>
    <t>Exposição cenário @ 350</t>
  </si>
  <si>
    <t>Exposição cenário @ 300</t>
  </si>
  <si>
    <t>Cenários - 10/12/2025</t>
  </si>
  <si>
    <t>Posição comprada</t>
  </si>
  <si>
    <t>Exposição x posição comprada</t>
  </si>
  <si>
    <t>P&amp;L</t>
  </si>
  <si>
    <t>Resultado cenário @ 350</t>
  </si>
  <si>
    <t>Resultado cenário @ 300</t>
  </si>
  <si>
    <t>Exposição cenário BGI cotação 10/12/2025</t>
  </si>
  <si>
    <t>Receita cenário BGI cotação 10/12/2025</t>
  </si>
  <si>
    <t>Resultado cenário BGI cotação 10/12/2025</t>
  </si>
  <si>
    <t>Orçamento</t>
  </si>
  <si>
    <t>Custo @</t>
  </si>
  <si>
    <t>Percentual sobre 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</si>
</sst>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[$-416]mmm\-yy;@"/>
    <numFmt numFmtId="165" formatCode="#,##0;\(#,##0\)"/>
    <numFmt numFmtId="166" formatCode="#,##0.0;\(#,##0.0\)"/>
    <numFmt numFmtId="167" formatCode="0.0"/>
    <numFmt numFmtId="168" formatCode="0.0%"/>
    <numFmt numFmtId="169" formatCode="#,##0.0"/>
    <numFmt numFmtId="170" formatCode="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ourier New"/>
      <family val="3"/>
    </font>
    <font>
      <sz val="10"/>
      <color theme="1"/>
      <name val="Courier New"/>
      <family val="3"/>
    </font>
    <font>
      <sz val="10"/>
      <name val="Courier New"/>
      <family val="3"/>
    </font>
    <font>
      <b/>
      <sz val="10"/>
      <color rgb="FFFF0000"/>
      <name val="Courier New"/>
      <family val="3"/>
    </font>
    <font>
      <b/>
      <sz val="10"/>
      <color rgb="FF041BC2"/>
      <name val="Courier New"/>
      <family val="3"/>
    </font>
    <font>
      <b/>
      <i/>
      <sz val="10"/>
      <color rgb="FFFF0000"/>
      <name val="Courier New"/>
      <family val="3"/>
    </font>
    <font>
      <sz val="10"/>
      <color rgb="FFFF0000"/>
      <name val="Courier New"/>
      <family val="3"/>
    </font>
    <font>
      <sz val="10"/>
      <color theme="0"/>
      <name val="Courier New"/>
      <family val="3"/>
    </font>
    <font>
      <b/>
      <sz val="10"/>
      <color theme="0"/>
      <name val="Courier New"/>
      <family val="3"/>
    </font>
  </fonts>
  <fills count="2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7">
    <xf numFmtId="0" fontId="0" fillId="0" borderId="0" xfId="0"/>
    <xf numFmtId="164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horizontal="center" vertical="center"/>
    </xf>
    <xf numFmtId="165" fontId="4" fillId="0" borderId="0" xfId="1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165" fontId="5" fillId="4" borderId="1" xfId="1" applyNumberFormat="1" applyFont="1" applyFill="1" applyBorder="1" applyAlignment="1">
      <alignment horizontal="right" vertical="center"/>
    </xf>
    <xf numFmtId="165" fontId="6" fillId="3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1" xfId="0" quotePrefix="1" applyFont="1" applyBorder="1" applyAlignment="1">
      <alignment horizontal="center" vertical="center"/>
    </xf>
    <xf numFmtId="164" fontId="2" fillId="5" borderId="0" xfId="0" applyNumberFormat="1" applyFont="1" applyFill="1" applyAlignment="1">
      <alignment vertical="center"/>
    </xf>
    <xf numFmtId="164" fontId="2" fillId="5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Alignment="1">
      <alignment vertical="center"/>
    </xf>
    <xf numFmtId="164" fontId="3" fillId="4" borderId="0" xfId="0" applyNumberFormat="1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right" vertical="center"/>
    </xf>
    <xf numFmtId="14" fontId="6" fillId="3" borderId="0" xfId="1" applyNumberFormat="1" applyFont="1" applyFill="1" applyBorder="1" applyAlignment="1">
      <alignment horizontal="right" vertical="center"/>
    </xf>
    <xf numFmtId="165" fontId="1" fillId="0" borderId="0" xfId="1" applyNumberFormat="1" applyFont="1" applyFill="1" applyBorder="1" applyAlignment="1">
      <alignment horizontal="right" vertical="center"/>
    </xf>
    <xf numFmtId="164" fontId="3" fillId="6" borderId="0" xfId="0" applyNumberFormat="1" applyFont="1" applyFill="1" applyAlignment="1">
      <alignment vertical="center"/>
    </xf>
    <xf numFmtId="164" fontId="3" fillId="6" borderId="0" xfId="0" applyNumberFormat="1" applyFont="1" applyFill="1" applyAlignment="1">
      <alignment horizontal="center" vertical="center"/>
    </xf>
    <xf numFmtId="10" fontId="0" fillId="0" borderId="0" xfId="2" applyNumberFormat="1" applyFont="1" applyAlignment="1">
      <alignment horizontal="right" vertical="center"/>
    </xf>
    <xf numFmtId="0" fontId="0" fillId="0" borderId="1" xfId="0" quotePrefix="1" applyBorder="1" applyAlignment="1">
      <alignment horizontal="center" vertical="center"/>
    </xf>
    <xf numFmtId="165" fontId="1" fillId="0" borderId="1" xfId="1" applyNumberFormat="1" applyFont="1" applyFill="1" applyBorder="1" applyAlignment="1">
      <alignment horizontal="right" vertical="center"/>
    </xf>
    <xf numFmtId="164" fontId="3" fillId="7" borderId="0" xfId="0" applyNumberFormat="1" applyFont="1" applyFill="1" applyAlignment="1">
      <alignment vertical="center"/>
    </xf>
    <xf numFmtId="16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165" fontId="3" fillId="8" borderId="0" xfId="0" applyNumberFormat="1" applyFont="1" applyFill="1" applyAlignment="1">
      <alignment horizontal="right" vertical="center"/>
    </xf>
    <xf numFmtId="0" fontId="3" fillId="0" borderId="0" xfId="0" quotePrefix="1" applyFont="1" applyAlignment="1">
      <alignment horizontal="center" vertical="center"/>
    </xf>
    <xf numFmtId="165" fontId="3" fillId="0" borderId="0" xfId="1" applyNumberFormat="1" applyFont="1" applyFill="1" applyBorder="1" applyAlignment="1">
      <alignment horizontal="right" vertical="center"/>
    </xf>
    <xf numFmtId="166" fontId="1" fillId="0" borderId="0" xfId="1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0" fontId="0" fillId="4" borderId="1" xfId="0" quotePrefix="1" applyFill="1" applyBorder="1" applyAlignment="1">
      <alignment horizontal="center" vertical="center"/>
    </xf>
    <xf numFmtId="165" fontId="1" fillId="4" borderId="1" xfId="1" applyNumberFormat="1" applyFont="1" applyFill="1" applyBorder="1" applyAlignment="1">
      <alignment horizontal="right" vertical="center"/>
    </xf>
    <xf numFmtId="0" fontId="3" fillId="4" borderId="1" xfId="0" quotePrefix="1" applyFont="1" applyFill="1" applyBorder="1" applyAlignment="1">
      <alignment horizontal="center" vertical="center"/>
    </xf>
    <xf numFmtId="165" fontId="3" fillId="4" borderId="1" xfId="1" applyNumberFormat="1" applyFont="1" applyFill="1" applyBorder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2" xfId="0" quotePrefix="1" applyBorder="1" applyAlignment="1">
      <alignment horizontal="center" vertical="center"/>
    </xf>
    <xf numFmtId="165" fontId="1" fillId="0" borderId="2" xfId="1" applyNumberFormat="1" applyFont="1" applyFill="1" applyBorder="1" applyAlignment="1">
      <alignment horizontal="right" vertical="center"/>
    </xf>
    <xf numFmtId="0" fontId="0" fillId="0" borderId="3" xfId="0" applyBorder="1" applyAlignment="1">
      <alignment vertical="center"/>
    </xf>
    <xf numFmtId="0" fontId="0" fillId="0" borderId="3" xfId="0" quotePrefix="1" applyBorder="1" applyAlignment="1">
      <alignment horizontal="center" vertical="center"/>
    </xf>
    <xf numFmtId="165" fontId="1" fillId="0" borderId="3" xfId="1" applyNumberFormat="1" applyFont="1" applyFill="1" applyBorder="1" applyAlignment="1">
      <alignment horizontal="right" vertical="center"/>
    </xf>
    <xf numFmtId="165" fontId="10" fillId="3" borderId="0" xfId="1" applyNumberFormat="1" applyFont="1" applyFill="1" applyBorder="1" applyAlignment="1">
      <alignment horizontal="right" vertical="center"/>
    </xf>
    <xf numFmtId="9" fontId="1" fillId="0" borderId="0" xfId="2" applyFont="1" applyFill="1" applyBorder="1" applyAlignment="1">
      <alignment horizontal="right" vertical="center"/>
    </xf>
    <xf numFmtId="165" fontId="11" fillId="3" borderId="1" xfId="1" applyNumberFormat="1" applyFont="1" applyFill="1" applyBorder="1" applyAlignment="1">
      <alignment horizontal="right" vertical="center"/>
    </xf>
    <xf numFmtId="165" fontId="12" fillId="3" borderId="1" xfId="1" applyNumberFormat="1" applyFont="1" applyFill="1" applyBorder="1" applyAlignment="1">
      <alignment horizontal="right" vertical="center"/>
    </xf>
    <xf numFmtId="165" fontId="13" fillId="0" borderId="0" xfId="1" applyNumberFormat="1" applyFont="1" applyFill="1" applyBorder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5" fontId="1" fillId="3" borderId="0" xfId="1" applyNumberFormat="1" applyFont="1" applyFill="1" applyBorder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165" fontId="7" fillId="3" borderId="0" xfId="1" applyNumberFormat="1" applyFont="1" applyFill="1" applyBorder="1" applyAlignment="1">
      <alignment horizontal="right" vertical="center"/>
    </xf>
    <xf numFmtId="165" fontId="6" fillId="0" borderId="0" xfId="1" applyNumberFormat="1" applyFont="1" applyFill="1" applyBorder="1" applyAlignment="1">
      <alignment horizontal="right" vertical="center"/>
    </xf>
    <xf numFmtId="9" fontId="13" fillId="0" borderId="0" xfId="2" applyFont="1" applyFill="1" applyBorder="1" applyAlignment="1">
      <alignment horizontal="right" vertical="center"/>
    </xf>
    <xf numFmtId="165" fontId="10" fillId="0" borderId="3" xfId="1" applyNumberFormat="1" applyFont="1" applyFill="1" applyBorder="1" applyAlignment="1">
      <alignment horizontal="right" vertical="center"/>
    </xf>
    <xf numFmtId="165" fontId="13" fillId="0" borderId="3" xfId="1" applyNumberFormat="1" applyFont="1" applyFill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164" fontId="2" fillId="2" borderId="5" xfId="0" applyNumberFormat="1" applyFont="1" applyFill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9" fontId="13" fillId="0" borderId="5" xfId="2" applyFont="1" applyFill="1" applyBorder="1" applyAlignment="1">
      <alignment horizontal="right" vertical="center"/>
    </xf>
    <xf numFmtId="165" fontId="6" fillId="3" borderId="5" xfId="1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right" vertical="center"/>
    </xf>
    <xf numFmtId="9" fontId="0" fillId="0" borderId="0" xfId="2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6" fillId="9" borderId="0" xfId="0" applyFont="1" applyFill="1" applyAlignment="1">
      <alignment horizontal="right" vertical="center"/>
    </xf>
    <xf numFmtId="3" fontId="16" fillId="9" borderId="0" xfId="0" applyNumberFormat="1" applyFont="1" applyFill="1" applyAlignment="1">
      <alignment horizontal="right" vertical="center"/>
    </xf>
    <xf numFmtId="3" fontId="17" fillId="0" borderId="0" xfId="0" applyNumberFormat="1" applyFont="1" applyAlignment="1">
      <alignment horizontal="right" vertical="center"/>
    </xf>
    <xf numFmtId="4" fontId="17" fillId="0" borderId="0" xfId="0" applyNumberFormat="1" applyFont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1" fontId="17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167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horizontal="right" vertical="center"/>
    </xf>
    <xf numFmtId="16" fontId="17" fillId="0" borderId="0" xfId="0" applyNumberFormat="1" applyFont="1" applyAlignment="1">
      <alignment horizontal="right" vertical="center"/>
    </xf>
    <xf numFmtId="0" fontId="17" fillId="0" borderId="0" xfId="0" quotePrefix="1" applyFont="1" applyAlignment="1">
      <alignment horizontal="right" vertical="center"/>
    </xf>
    <xf numFmtId="168" fontId="20" fillId="0" borderId="0" xfId="2" applyNumberFormat="1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168" fontId="17" fillId="0" borderId="0" xfId="2" applyNumberFormat="1" applyFont="1" applyAlignment="1">
      <alignment horizontal="right" vertical="center"/>
    </xf>
    <xf numFmtId="0" fontId="17" fillId="9" borderId="0" xfId="0" applyFont="1" applyFill="1" applyAlignment="1">
      <alignment horizontal="right" vertical="center"/>
    </xf>
    <xf numFmtId="9" fontId="17" fillId="0" borderId="0" xfId="2" applyFont="1" applyAlignment="1">
      <alignment horizontal="right" vertical="center"/>
    </xf>
    <xf numFmtId="3" fontId="17" fillId="9" borderId="0" xfId="0" applyNumberFormat="1" applyFont="1" applyFill="1" applyAlignment="1">
      <alignment horizontal="right" vertical="center"/>
    </xf>
    <xf numFmtId="169" fontId="17" fillId="0" borderId="0" xfId="0" applyNumberFormat="1" applyFont="1" applyAlignment="1">
      <alignment horizontal="right" vertical="center"/>
    </xf>
    <xf numFmtId="16" fontId="22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3" fontId="22" fillId="0" borderId="0" xfId="0" applyNumberFormat="1" applyFont="1" applyAlignment="1">
      <alignment horizontal="right" vertical="center"/>
    </xf>
    <xf numFmtId="0" fontId="17" fillId="13" borderId="6" xfId="0" applyFont="1" applyFill="1" applyBorder="1" applyAlignment="1">
      <alignment horizontal="right" vertical="center"/>
    </xf>
    <xf numFmtId="3" fontId="17" fillId="13" borderId="6" xfId="0" applyNumberFormat="1" applyFont="1" applyFill="1" applyBorder="1" applyAlignment="1">
      <alignment horizontal="right" vertical="center"/>
    </xf>
    <xf numFmtId="0" fontId="19" fillId="13" borderId="6" xfId="0" applyFont="1" applyFill="1" applyBorder="1" applyAlignment="1">
      <alignment horizontal="right" vertical="center"/>
    </xf>
    <xf numFmtId="3" fontId="19" fillId="13" borderId="6" xfId="0" applyNumberFormat="1" applyFont="1" applyFill="1" applyBorder="1" applyAlignment="1">
      <alignment horizontal="right" vertical="center"/>
    </xf>
    <xf numFmtId="0" fontId="16" fillId="15" borderId="6" xfId="0" applyFont="1" applyFill="1" applyBorder="1" applyAlignment="1">
      <alignment horizontal="right" vertical="center"/>
    </xf>
    <xf numFmtId="3" fontId="16" fillId="15" borderId="6" xfId="0" applyNumberFormat="1" applyFont="1" applyFill="1" applyBorder="1" applyAlignment="1">
      <alignment horizontal="right" vertical="center"/>
    </xf>
    <xf numFmtId="0" fontId="17" fillId="15" borderId="6" xfId="0" applyFont="1" applyFill="1" applyBorder="1" applyAlignment="1">
      <alignment horizontal="right" vertical="center"/>
    </xf>
    <xf numFmtId="3" fontId="17" fillId="15" borderId="6" xfId="0" applyNumberFormat="1" applyFont="1" applyFill="1" applyBorder="1" applyAlignment="1">
      <alignment horizontal="right" vertical="center"/>
    </xf>
    <xf numFmtId="4" fontId="17" fillId="15" borderId="6" xfId="0" applyNumberFormat="1" applyFont="1" applyFill="1" applyBorder="1" applyAlignment="1">
      <alignment horizontal="right" vertical="center"/>
    </xf>
    <xf numFmtId="0" fontId="17" fillId="15" borderId="6" xfId="0" quotePrefix="1" applyFont="1" applyFill="1" applyBorder="1" applyAlignment="1">
      <alignment horizontal="right" vertical="center"/>
    </xf>
    <xf numFmtId="0" fontId="20" fillId="15" borderId="6" xfId="0" applyFont="1" applyFill="1" applyBorder="1" applyAlignment="1">
      <alignment horizontal="right" vertical="center"/>
    </xf>
    <xf numFmtId="168" fontId="17" fillId="15" borderId="6" xfId="2" applyNumberFormat="1" applyFont="1" applyFill="1" applyBorder="1" applyAlignment="1">
      <alignment horizontal="right" vertical="center"/>
    </xf>
    <xf numFmtId="0" fontId="16" fillId="16" borderId="6" xfId="0" applyFont="1" applyFill="1" applyBorder="1" applyAlignment="1">
      <alignment horizontal="right" vertical="center"/>
    </xf>
    <xf numFmtId="3" fontId="16" fillId="16" borderId="6" xfId="0" applyNumberFormat="1" applyFont="1" applyFill="1" applyBorder="1" applyAlignment="1">
      <alignment horizontal="right" vertical="center"/>
    </xf>
    <xf numFmtId="0" fontId="17" fillId="16" borderId="6" xfId="0" applyFont="1" applyFill="1" applyBorder="1" applyAlignment="1">
      <alignment horizontal="right" vertical="center"/>
    </xf>
    <xf numFmtId="3" fontId="17" fillId="16" borderId="6" xfId="0" applyNumberFormat="1" applyFont="1" applyFill="1" applyBorder="1" applyAlignment="1">
      <alignment horizontal="right" vertical="center"/>
    </xf>
    <xf numFmtId="4" fontId="17" fillId="16" borderId="6" xfId="0" applyNumberFormat="1" applyFont="1" applyFill="1" applyBorder="1" applyAlignment="1">
      <alignment horizontal="right" vertical="center"/>
    </xf>
    <xf numFmtId="0" fontId="20" fillId="16" borderId="6" xfId="0" applyFont="1" applyFill="1" applyBorder="1" applyAlignment="1">
      <alignment horizontal="right" vertical="center"/>
    </xf>
    <xf numFmtId="0" fontId="16" fillId="17" borderId="6" xfId="0" applyFont="1" applyFill="1" applyBorder="1" applyAlignment="1">
      <alignment horizontal="right" vertical="center"/>
    </xf>
    <xf numFmtId="3" fontId="16" fillId="17" borderId="6" xfId="0" applyNumberFormat="1" applyFont="1" applyFill="1" applyBorder="1" applyAlignment="1">
      <alignment horizontal="right" vertical="center"/>
    </xf>
    <xf numFmtId="0" fontId="17" fillId="17" borderId="6" xfId="0" applyFont="1" applyFill="1" applyBorder="1" applyAlignment="1">
      <alignment horizontal="right" vertical="center"/>
    </xf>
    <xf numFmtId="3" fontId="17" fillId="17" borderId="6" xfId="0" applyNumberFormat="1" applyFont="1" applyFill="1" applyBorder="1" applyAlignment="1">
      <alignment horizontal="right" vertical="center"/>
    </xf>
    <xf numFmtId="4" fontId="17" fillId="17" borderId="6" xfId="0" applyNumberFormat="1" applyFont="1" applyFill="1" applyBorder="1" applyAlignment="1">
      <alignment horizontal="right" vertical="center"/>
    </xf>
    <xf numFmtId="0" fontId="17" fillId="17" borderId="6" xfId="0" quotePrefix="1" applyFont="1" applyFill="1" applyBorder="1" applyAlignment="1">
      <alignment horizontal="right" vertical="center"/>
    </xf>
    <xf numFmtId="0" fontId="20" fillId="17" borderId="6" xfId="0" applyFont="1" applyFill="1" applyBorder="1" applyAlignment="1">
      <alignment horizontal="right" vertical="center"/>
    </xf>
    <xf numFmtId="0" fontId="16" fillId="18" borderId="6" xfId="0" applyFont="1" applyFill="1" applyBorder="1" applyAlignment="1">
      <alignment horizontal="right" vertical="center"/>
    </xf>
    <xf numFmtId="3" fontId="16" fillId="18" borderId="6" xfId="0" applyNumberFormat="1" applyFont="1" applyFill="1" applyBorder="1" applyAlignment="1">
      <alignment horizontal="right" vertical="center"/>
    </xf>
    <xf numFmtId="0" fontId="17" fillId="18" borderId="6" xfId="0" applyFont="1" applyFill="1" applyBorder="1" applyAlignment="1">
      <alignment horizontal="right" vertical="center"/>
    </xf>
    <xf numFmtId="3" fontId="17" fillId="18" borderId="6" xfId="0" applyNumberFormat="1" applyFont="1" applyFill="1" applyBorder="1" applyAlignment="1">
      <alignment horizontal="right" vertical="center"/>
    </xf>
    <xf numFmtId="4" fontId="17" fillId="18" borderId="6" xfId="0" applyNumberFormat="1" applyFont="1" applyFill="1" applyBorder="1" applyAlignment="1">
      <alignment horizontal="right" vertical="center"/>
    </xf>
    <xf numFmtId="0" fontId="20" fillId="18" borderId="6" xfId="0" applyFont="1" applyFill="1" applyBorder="1" applyAlignment="1">
      <alignment horizontal="right" vertical="center"/>
    </xf>
    <xf numFmtId="0" fontId="16" fillId="7" borderId="6" xfId="0" applyFont="1" applyFill="1" applyBorder="1" applyAlignment="1">
      <alignment horizontal="right" vertical="center"/>
    </xf>
    <xf numFmtId="3" fontId="16" fillId="7" borderId="6" xfId="0" applyNumberFormat="1" applyFont="1" applyFill="1" applyBorder="1" applyAlignment="1">
      <alignment horizontal="right" vertical="center"/>
    </xf>
    <xf numFmtId="0" fontId="17" fillId="7" borderId="6" xfId="0" applyFont="1" applyFill="1" applyBorder="1" applyAlignment="1">
      <alignment horizontal="right" vertical="center"/>
    </xf>
    <xf numFmtId="3" fontId="17" fillId="7" borderId="6" xfId="0" applyNumberFormat="1" applyFont="1" applyFill="1" applyBorder="1" applyAlignment="1">
      <alignment horizontal="right" vertical="center"/>
    </xf>
    <xf numFmtId="4" fontId="17" fillId="7" borderId="6" xfId="0" applyNumberFormat="1" applyFont="1" applyFill="1" applyBorder="1" applyAlignment="1">
      <alignment horizontal="right" vertical="center"/>
    </xf>
    <xf numFmtId="0" fontId="17" fillId="7" borderId="6" xfId="0" quotePrefix="1" applyFont="1" applyFill="1" applyBorder="1" applyAlignment="1">
      <alignment horizontal="right" vertical="center"/>
    </xf>
    <xf numFmtId="0" fontId="20" fillId="7" borderId="6" xfId="0" applyFont="1" applyFill="1" applyBorder="1" applyAlignment="1">
      <alignment horizontal="right" vertical="center"/>
    </xf>
    <xf numFmtId="0" fontId="17" fillId="16" borderId="6" xfId="0" quotePrefix="1" applyFont="1" applyFill="1" applyBorder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2" fontId="17" fillId="0" borderId="0" xfId="0" applyNumberFormat="1" applyFont="1" applyAlignment="1">
      <alignment horizontal="left" vertical="center"/>
    </xf>
    <xf numFmtId="0" fontId="17" fillId="10" borderId="0" xfId="0" applyFont="1" applyFill="1" applyAlignment="1">
      <alignment horizontal="left" vertical="center"/>
    </xf>
    <xf numFmtId="1" fontId="17" fillId="0" borderId="0" xfId="0" applyNumberFormat="1" applyFont="1" applyAlignment="1">
      <alignment horizontal="left" vertical="center"/>
    </xf>
    <xf numFmtId="167" fontId="17" fillId="0" borderId="0" xfId="0" applyNumberFormat="1" applyFont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1" fontId="19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9" fontId="17" fillId="0" borderId="0" xfId="0" applyNumberFormat="1" applyFont="1" applyAlignment="1">
      <alignment horizontal="left" vertical="center"/>
    </xf>
    <xf numFmtId="9" fontId="17" fillId="0" borderId="0" xfId="2" applyFont="1" applyAlignment="1">
      <alignment horizontal="left" vertical="center"/>
    </xf>
    <xf numFmtId="3" fontId="17" fillId="0" borderId="0" xfId="0" applyNumberFormat="1" applyFont="1" applyAlignment="1">
      <alignment horizontal="left" vertical="center"/>
    </xf>
    <xf numFmtId="170" fontId="17" fillId="0" borderId="0" xfId="0" applyNumberFormat="1" applyFont="1" applyAlignment="1">
      <alignment horizontal="left" vertical="center"/>
    </xf>
    <xf numFmtId="0" fontId="16" fillId="12" borderId="0" xfId="0" applyFont="1" applyFill="1" applyAlignment="1">
      <alignment horizontal="left" vertical="center"/>
    </xf>
    <xf numFmtId="1" fontId="16" fillId="12" borderId="0" xfId="0" applyNumberFormat="1" applyFont="1" applyFill="1" applyAlignment="1">
      <alignment horizontal="left" vertical="center"/>
    </xf>
    <xf numFmtId="168" fontId="17" fillId="0" borderId="0" xfId="2" applyNumberFormat="1" applyFont="1" applyAlignment="1">
      <alignment horizontal="left" vertical="center"/>
    </xf>
    <xf numFmtId="169" fontId="17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3" fontId="20" fillId="0" borderId="0" xfId="0" applyNumberFormat="1" applyFont="1" applyAlignment="1">
      <alignment horizontal="left" vertical="center"/>
    </xf>
    <xf numFmtId="14" fontId="17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3" fontId="16" fillId="0" borderId="0" xfId="0" applyNumberFormat="1" applyFont="1" applyAlignment="1">
      <alignment horizontal="left" vertical="center"/>
    </xf>
    <xf numFmtId="1" fontId="16" fillId="0" borderId="0" xfId="0" applyNumberFormat="1" applyFont="1" applyAlignment="1">
      <alignment horizontal="left" vertical="center"/>
    </xf>
    <xf numFmtId="0" fontId="17" fillId="19" borderId="6" xfId="0" applyFont="1" applyFill="1" applyBorder="1" applyAlignment="1">
      <alignment horizontal="left" vertical="center"/>
    </xf>
    <xf numFmtId="2" fontId="17" fillId="19" borderId="6" xfId="0" applyNumberFormat="1" applyFont="1" applyFill="1" applyBorder="1" applyAlignment="1">
      <alignment horizontal="left" vertical="center"/>
    </xf>
    <xf numFmtId="1" fontId="17" fillId="19" borderId="6" xfId="0" applyNumberFormat="1" applyFont="1" applyFill="1" applyBorder="1" applyAlignment="1">
      <alignment horizontal="left" vertical="center"/>
    </xf>
    <xf numFmtId="167" fontId="17" fillId="19" borderId="6" xfId="0" applyNumberFormat="1" applyFont="1" applyFill="1" applyBorder="1" applyAlignment="1">
      <alignment horizontal="left" vertical="center"/>
    </xf>
    <xf numFmtId="9" fontId="17" fillId="19" borderId="6" xfId="0" applyNumberFormat="1" applyFont="1" applyFill="1" applyBorder="1" applyAlignment="1">
      <alignment horizontal="left" vertical="center"/>
    </xf>
    <xf numFmtId="9" fontId="17" fillId="19" borderId="6" xfId="2" applyFont="1" applyFill="1" applyBorder="1" applyAlignment="1">
      <alignment horizontal="left" vertical="center"/>
    </xf>
    <xf numFmtId="3" fontId="17" fillId="19" borderId="6" xfId="0" applyNumberFormat="1" applyFont="1" applyFill="1" applyBorder="1" applyAlignment="1">
      <alignment horizontal="left" vertical="center"/>
    </xf>
    <xf numFmtId="167" fontId="17" fillId="19" borderId="9" xfId="0" applyNumberFormat="1" applyFont="1" applyFill="1" applyBorder="1" applyAlignment="1">
      <alignment horizontal="left" vertical="center"/>
    </xf>
    <xf numFmtId="0" fontId="17" fillId="14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4" fillId="20" borderId="6" xfId="0" applyFont="1" applyFill="1" applyBorder="1" applyAlignment="1">
      <alignment horizontal="left" vertical="center"/>
    </xf>
    <xf numFmtId="0" fontId="17" fillId="21" borderId="6" xfId="0" applyFont="1" applyFill="1" applyBorder="1" applyAlignment="1">
      <alignment horizontal="left" vertical="center"/>
    </xf>
    <xf numFmtId="2" fontId="17" fillId="21" borderId="6" xfId="0" applyNumberFormat="1" applyFont="1" applyFill="1" applyBorder="1" applyAlignment="1">
      <alignment horizontal="left" vertical="center"/>
    </xf>
    <xf numFmtId="1" fontId="17" fillId="21" borderId="6" xfId="0" applyNumberFormat="1" applyFont="1" applyFill="1" applyBorder="1" applyAlignment="1">
      <alignment horizontal="left" vertical="center"/>
    </xf>
    <xf numFmtId="167" fontId="17" fillId="21" borderId="6" xfId="0" applyNumberFormat="1" applyFont="1" applyFill="1" applyBorder="1" applyAlignment="1">
      <alignment horizontal="left" vertical="center"/>
    </xf>
    <xf numFmtId="0" fontId="17" fillId="21" borderId="7" xfId="0" applyFont="1" applyFill="1" applyBorder="1" applyAlignment="1">
      <alignment horizontal="left" vertical="center"/>
    </xf>
    <xf numFmtId="0" fontId="16" fillId="21" borderId="6" xfId="0" applyFont="1" applyFill="1" applyBorder="1" applyAlignment="1">
      <alignment horizontal="left" vertical="center"/>
    </xf>
    <xf numFmtId="1" fontId="17" fillId="21" borderId="7" xfId="0" applyNumberFormat="1" applyFont="1" applyFill="1" applyBorder="1" applyAlignment="1">
      <alignment horizontal="left" vertical="center"/>
    </xf>
    <xf numFmtId="9" fontId="17" fillId="21" borderId="7" xfId="0" applyNumberFormat="1" applyFont="1" applyFill="1" applyBorder="1" applyAlignment="1">
      <alignment horizontal="left" vertical="center"/>
    </xf>
    <xf numFmtId="9" fontId="17" fillId="21" borderId="7" xfId="2" applyFont="1" applyFill="1" applyBorder="1" applyAlignment="1">
      <alignment horizontal="left" vertical="center"/>
    </xf>
    <xf numFmtId="3" fontId="17" fillId="21" borderId="7" xfId="0" applyNumberFormat="1" applyFont="1" applyFill="1" applyBorder="1" applyAlignment="1">
      <alignment horizontal="left" vertical="center"/>
    </xf>
    <xf numFmtId="0" fontId="17" fillId="14" borderId="7" xfId="0" applyFont="1" applyFill="1" applyBorder="1" applyAlignment="1">
      <alignment horizontal="left" vertical="center"/>
    </xf>
    <xf numFmtId="0" fontId="17" fillId="15" borderId="6" xfId="0" applyFont="1" applyFill="1" applyBorder="1" applyAlignment="1">
      <alignment horizontal="left" vertical="center"/>
    </xf>
    <xf numFmtId="2" fontId="17" fillId="15" borderId="6" xfId="0" applyNumberFormat="1" applyFont="1" applyFill="1" applyBorder="1" applyAlignment="1">
      <alignment horizontal="left" vertical="center"/>
    </xf>
    <xf numFmtId="167" fontId="17" fillId="15" borderId="6" xfId="0" applyNumberFormat="1" applyFont="1" applyFill="1" applyBorder="1" applyAlignment="1">
      <alignment horizontal="left" vertical="center"/>
    </xf>
    <xf numFmtId="0" fontId="17" fillId="15" borderId="8" xfId="0" applyFont="1" applyFill="1" applyBorder="1" applyAlignment="1">
      <alignment horizontal="left" vertical="center"/>
    </xf>
    <xf numFmtId="1" fontId="17" fillId="15" borderId="6" xfId="0" applyNumberFormat="1" applyFont="1" applyFill="1" applyBorder="1" applyAlignment="1">
      <alignment horizontal="left" vertical="center"/>
    </xf>
    <xf numFmtId="9" fontId="17" fillId="15" borderId="6" xfId="0" applyNumberFormat="1" applyFont="1" applyFill="1" applyBorder="1" applyAlignment="1">
      <alignment horizontal="left" vertical="center"/>
    </xf>
    <xf numFmtId="9" fontId="17" fillId="15" borderId="6" xfId="2" applyFont="1" applyFill="1" applyBorder="1" applyAlignment="1">
      <alignment horizontal="left" vertical="center"/>
    </xf>
    <xf numFmtId="3" fontId="17" fillId="15" borderId="6" xfId="0" applyNumberFormat="1" applyFont="1" applyFill="1" applyBorder="1" applyAlignment="1">
      <alignment horizontal="left" vertical="center"/>
    </xf>
    <xf numFmtId="167" fontId="17" fillId="21" borderId="10" xfId="0" applyNumberFormat="1" applyFont="1" applyFill="1" applyBorder="1" applyAlignment="1">
      <alignment horizontal="left" vertical="center"/>
    </xf>
    <xf numFmtId="0" fontId="17" fillId="15" borderId="11" xfId="0" applyFont="1" applyFill="1" applyBorder="1" applyAlignment="1">
      <alignment horizontal="left" vertical="center"/>
    </xf>
    <xf numFmtId="0" fontId="17" fillId="19" borderId="9" xfId="0" applyFont="1" applyFill="1" applyBorder="1" applyAlignment="1">
      <alignment horizontal="left" vertical="center"/>
    </xf>
    <xf numFmtId="1" fontId="17" fillId="15" borderId="13" xfId="0" applyNumberFormat="1" applyFont="1" applyFill="1" applyBorder="1" applyAlignment="1">
      <alignment horizontal="left" vertical="center"/>
    </xf>
    <xf numFmtId="0" fontId="17" fillId="19" borderId="13" xfId="0" applyFont="1" applyFill="1" applyBorder="1" applyAlignment="1">
      <alignment horizontal="left" vertical="center"/>
    </xf>
    <xf numFmtId="1" fontId="17" fillId="19" borderId="13" xfId="0" applyNumberFormat="1" applyFont="1" applyFill="1" applyBorder="1" applyAlignment="1">
      <alignment horizontal="left" vertical="center"/>
    </xf>
    <xf numFmtId="0" fontId="17" fillId="14" borderId="9" xfId="0" applyFont="1" applyFill="1" applyBorder="1" applyAlignment="1">
      <alignment horizontal="left" vertical="center"/>
    </xf>
    <xf numFmtId="0" fontId="17" fillId="15" borderId="12" xfId="0" applyFont="1" applyFill="1" applyBorder="1" applyAlignment="1">
      <alignment horizontal="left" vertical="center"/>
    </xf>
    <xf numFmtId="167" fontId="17" fillId="15" borderId="9" xfId="0" applyNumberFormat="1" applyFont="1" applyFill="1" applyBorder="1" applyAlignment="1">
      <alignment horizontal="left" vertical="center"/>
    </xf>
    <xf numFmtId="0" fontId="17" fillId="17" borderId="13" xfId="0" applyFont="1" applyFill="1" applyBorder="1" applyAlignment="1">
      <alignment horizontal="left" vertical="center"/>
    </xf>
    <xf numFmtId="1" fontId="17" fillId="17" borderId="13" xfId="0" applyNumberFormat="1" applyFont="1" applyFill="1" applyBorder="1" applyAlignment="1">
      <alignment horizontal="left" vertical="center"/>
    </xf>
    <xf numFmtId="0" fontId="17" fillId="17" borderId="6" xfId="0" applyFont="1" applyFill="1" applyBorder="1" applyAlignment="1">
      <alignment horizontal="left" vertical="center"/>
    </xf>
    <xf numFmtId="9" fontId="17" fillId="17" borderId="6" xfId="0" applyNumberFormat="1" applyFont="1" applyFill="1" applyBorder="1" applyAlignment="1">
      <alignment horizontal="left" vertical="center"/>
    </xf>
    <xf numFmtId="1" fontId="17" fillId="17" borderId="6" xfId="0" applyNumberFormat="1" applyFont="1" applyFill="1" applyBorder="1" applyAlignment="1">
      <alignment horizontal="left" vertical="center"/>
    </xf>
    <xf numFmtId="9" fontId="17" fillId="17" borderId="6" xfId="2" applyFont="1" applyFill="1" applyBorder="1" applyAlignment="1">
      <alignment horizontal="left" vertical="center"/>
    </xf>
    <xf numFmtId="3" fontId="17" fillId="17" borderId="6" xfId="0" applyNumberFormat="1" applyFont="1" applyFill="1" applyBorder="1" applyAlignment="1">
      <alignment horizontal="left" vertical="center"/>
    </xf>
    <xf numFmtId="0" fontId="17" fillId="17" borderId="9" xfId="0" applyFont="1" applyFill="1" applyBorder="1" applyAlignment="1">
      <alignment horizontal="left" vertical="center"/>
    </xf>
    <xf numFmtId="167" fontId="17" fillId="17" borderId="6" xfId="0" applyNumberFormat="1" applyFont="1" applyFill="1" applyBorder="1" applyAlignment="1">
      <alignment horizontal="left" vertical="center"/>
    </xf>
    <xf numFmtId="2" fontId="17" fillId="17" borderId="6" xfId="0" applyNumberFormat="1" applyFont="1" applyFill="1" applyBorder="1" applyAlignment="1">
      <alignment horizontal="left" vertical="center"/>
    </xf>
    <xf numFmtId="0" fontId="16" fillId="11" borderId="0" xfId="0" applyFont="1" applyFill="1" applyAlignment="1">
      <alignment horizontal="right" vertical="center"/>
    </xf>
    <xf numFmtId="0" fontId="16" fillId="9" borderId="0" xfId="0" applyFont="1" applyFill="1" applyAlignment="1">
      <alignment horizontal="left" vertical="center"/>
    </xf>
    <xf numFmtId="0" fontId="24" fillId="20" borderId="6" xfId="0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CCCC"/>
      <color rgb="FF79FFB6"/>
      <color rgb="FF00DE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Inputs!$B$104</c:f>
              <c:strCache>
                <c:ptCount val="1"/>
                <c:pt idx="0">
                  <c:v>Hedge futuro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Inputs!$D$104:$G$104</c:f>
              <c:numCache>
                <c:formatCode>#,##0;\(#,##0\)</c:formatCode>
                <c:ptCount val="4"/>
                <c:pt idx="0">
                  <c:v>-53760</c:v>
                </c:pt>
                <c:pt idx="1">
                  <c:v>-66000</c:v>
                </c:pt>
                <c:pt idx="2">
                  <c:v>-33000</c:v>
                </c:pt>
                <c:pt idx="3">
                  <c:v>-49500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E-4D29-BDEC-9DD8236B6EA3}"/>
            </c:ext>
          </c:extLst>
        </c:ser>
        <c:ser>
          <c:idx val="1"/>
          <c:order val="1"/>
          <c:tx>
            <c:strRef>
              <c:f>Inputs!$B$105</c:f>
              <c:strCache>
                <c:ptCount val="1"/>
                <c:pt idx="0">
                  <c:v>Hedge call e put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Inputs!$D$105:$G$105</c:f>
              <c:numCache>
                <c:formatCode>#,##0;\(#,##0\)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E-4D29-BDEC-9DD8236B6EA3}"/>
            </c:ext>
          </c:extLst>
        </c:ser>
        <c:ser>
          <c:idx val="2"/>
          <c:order val="2"/>
          <c:tx>
            <c:strRef>
              <c:f>Inputs!$B$106</c:f>
              <c:strCache>
                <c:ptCount val="1"/>
                <c:pt idx="0">
                  <c:v>Exposição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Inputs!$D$106:$G$106</c:f>
              <c:numCache>
                <c:formatCode>#,##0;\(#,##0\)</c:formatCode>
                <c:ptCount val="4"/>
                <c:pt idx="0">
                  <c:v>28130</c:v>
                </c:pt>
                <c:pt idx="1">
                  <c:v>44100</c:v>
                </c:pt>
                <c:pt idx="2">
                  <c:v>109000</c:v>
                </c:pt>
                <c:pt idx="3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E-4D29-BDEC-9DD8236B6EA3}"/>
            </c:ext>
          </c:extLst>
        </c:ser>
        <c:ser>
          <c:idx val="3"/>
          <c:order val="3"/>
          <c:tx>
            <c:strRef>
              <c:f>Inputs!$B$103</c:f>
              <c:strCache>
                <c:ptCount val="1"/>
                <c:pt idx="0">
                  <c:v>Comprado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Inputs!$D$103:$G$103</c:f>
              <c:numCache>
                <c:formatCode>#,##0;\(#,##0\)</c:formatCode>
                <c:ptCount val="4"/>
                <c:pt idx="0">
                  <c:v>81890</c:v>
                </c:pt>
                <c:pt idx="1">
                  <c:v>110100</c:v>
                </c:pt>
                <c:pt idx="2">
                  <c:v>142000</c:v>
                </c:pt>
                <c:pt idx="3">
                  <c:v>71500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87-4FF3-B200-C5CD78700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0588719"/>
        <c:axId val="1430593519"/>
      </c:barChart>
      <c:dateAx>
        <c:axId val="1430588719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93519"/>
        <c:crosses val="autoZero"/>
        <c:auto val="1"/>
        <c:lblOffset val="100"/>
        <c:baseTimeUnit val="months"/>
      </c:dateAx>
      <c:valAx>
        <c:axId val="143059351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;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8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4"/>
          <c:order val="0"/>
          <c:tx>
            <c:strRef>
              <c:f>Inputs!$B$100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Inputs!$D$100:$G$100</c:f>
            </c:numRef>
          </c:val>
          <c:extLst>
            <c:ext xmlns:c16="http://schemas.microsoft.com/office/drawing/2014/chart" uri="{C3380CC4-5D6E-409C-BE32-E72D297353CC}">
              <c16:uniqueId val="{00000001-A611-437B-ADB3-A9440BE90077}"/>
            </c:ext>
          </c:extLst>
        </c:ser>
        <c:ser>
          <c:idx val="3"/>
          <c:order val="1"/>
          <c:tx>
            <c:strRef>
              <c:f>Inputs!$B$99</c:f>
              <c:strCache>
                <c:ptCount val="1"/>
                <c:pt idx="0">
                  <c:v>Custos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Inputs!$D$99:$G$99</c:f>
            </c:numRef>
          </c:val>
          <c:extLst>
            <c:ext xmlns:c16="http://schemas.microsoft.com/office/drawing/2014/chart" uri="{C3380CC4-5D6E-409C-BE32-E72D297353CC}">
              <c16:uniqueId val="{00000000-A611-437B-ADB3-A9440BE90077}"/>
            </c:ext>
          </c:extLst>
        </c:ser>
        <c:ser>
          <c:idx val="5"/>
          <c:order val="2"/>
          <c:tx>
            <c:strRef>
              <c:f>Inputs!$B$98</c:f>
              <c:strCache>
                <c:ptCount val="1"/>
                <c:pt idx="0">
                  <c:v>Vendas físico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Inputs!$D$98:$G$98</c:f>
            </c:numRef>
          </c:val>
          <c:extLst>
            <c:ext xmlns:c16="http://schemas.microsoft.com/office/drawing/2014/chart" uri="{C3380CC4-5D6E-409C-BE32-E72D297353CC}">
              <c16:uniqueId val="{00000002-A611-437B-ADB3-A9440BE90077}"/>
            </c:ext>
          </c:extLst>
        </c:ser>
        <c:ser>
          <c:idx val="2"/>
          <c:order val="3"/>
          <c:tx>
            <c:strRef>
              <c:f>Inputs!$B$97</c:f>
              <c:strCache>
                <c:ptCount val="1"/>
                <c:pt idx="0">
                  <c:v>Hedge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Inputs!$D$97:$G$97</c:f>
            </c:numRef>
          </c:val>
          <c:extLst>
            <c:ext xmlns:c16="http://schemas.microsoft.com/office/drawing/2014/chart" uri="{C3380CC4-5D6E-409C-BE32-E72D297353CC}">
              <c16:uniqueId val="{00000002-118E-4D29-BDEC-9DD8236B6EA3}"/>
            </c:ext>
          </c:extLst>
        </c:ser>
        <c:ser>
          <c:idx val="1"/>
          <c:order val="4"/>
          <c:tx>
            <c:strRef>
              <c:f>Inputs!$B$96</c:f>
              <c:strCache>
                <c:ptCount val="1"/>
                <c:pt idx="0">
                  <c:v>Call e put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Inputs!$D$96:$G$96</c:f>
            </c:numRef>
          </c:val>
          <c:extLst>
            <c:ext xmlns:c16="http://schemas.microsoft.com/office/drawing/2014/chart" uri="{C3380CC4-5D6E-409C-BE32-E72D297353CC}">
              <c16:uniqueId val="{00000001-118E-4D29-BDEC-9DD8236B6EA3}"/>
            </c:ext>
          </c:extLst>
        </c:ser>
        <c:ser>
          <c:idx val="0"/>
          <c:order val="5"/>
          <c:tx>
            <c:strRef>
              <c:f>Inputs!$B$95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Inputs!$D$95:$G$95</c:f>
            </c:numRef>
          </c:val>
          <c:extLst>
            <c:ext xmlns:c16="http://schemas.microsoft.com/office/drawing/2014/chart" uri="{C3380CC4-5D6E-409C-BE32-E72D297353CC}">
              <c16:uniqueId val="{00000000-118E-4D29-BDEC-9DD8236B6EA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30588719"/>
        <c:axId val="1430593519"/>
      </c:barChart>
      <c:catAx>
        <c:axId val="1430588719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93519"/>
        <c:crosses val="autoZero"/>
        <c:auto val="1"/>
        <c:lblAlgn val="ctr"/>
        <c:lblOffset val="100"/>
        <c:noMultiLvlLbl val="1"/>
      </c:catAx>
      <c:valAx>
        <c:axId val="143059351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;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8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Inputs!$B$81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79FFB6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79FFB6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Inputs!$D$81:$G$81</c:f>
              <c:numCache>
                <c:formatCode>#,##0;\(#,##0\)</c:formatCode>
                <c:ptCount val="4"/>
                <c:pt idx="0">
                  <c:v>1653662.0344827585</c:v>
                </c:pt>
                <c:pt idx="1">
                  <c:v>6692629.7413793132</c:v>
                </c:pt>
                <c:pt idx="2">
                  <c:v>12045417.241379306</c:v>
                </c:pt>
                <c:pt idx="3">
                  <c:v>-217931.18620689586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00-4309-A4E0-DDE982C2D1B1}"/>
            </c:ext>
          </c:extLst>
        </c:ser>
        <c:ser>
          <c:idx val="1"/>
          <c:order val="1"/>
          <c:tx>
            <c:strRef>
              <c:f>Inputs!$B$108</c:f>
              <c:strCache>
                <c:ptCount val="1"/>
                <c:pt idx="0">
                  <c:v>Custos</c:v>
                </c:pt>
              </c:strCache>
            </c:strRef>
          </c:tx>
          <c:spPr>
            <a:noFill/>
            <a:ln w="25400"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Inputs!$D$108:$G$108</c:f>
              <c:numCache>
                <c:formatCode>#,##0;\(#,##0\)</c:formatCode>
                <c:ptCount val="4"/>
                <c:pt idx="0">
                  <c:v>25897618.965517242</c:v>
                </c:pt>
                <c:pt idx="1">
                  <c:v>30133982.758620687</c:v>
                </c:pt>
                <c:pt idx="2">
                  <c:v>34924482.758620694</c:v>
                </c:pt>
                <c:pt idx="3">
                  <c:v>24337327.586206898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00-4309-A4E0-DDE982C2D1B1}"/>
            </c:ext>
          </c:extLst>
        </c:ser>
        <c:ser>
          <c:idx val="2"/>
          <c:order val="2"/>
          <c:tx>
            <c:strRef>
              <c:f>Inputs!$B$63</c:f>
              <c:strCache>
                <c:ptCount val="1"/>
                <c:pt idx="0">
                  <c:v>Resultado call e put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Inputs!$D$63:$G$63</c:f>
              <c:numCache>
                <c:formatCode>#,##0;\(#,##0\)</c:formatCode>
                <c:ptCount val="4"/>
                <c:pt idx="0">
                  <c:v>764940</c:v>
                </c:pt>
                <c:pt idx="1">
                  <c:v>844800</c:v>
                </c:pt>
                <c:pt idx="2">
                  <c:v>478500</c:v>
                </c:pt>
                <c:pt idx="3">
                  <c:v>544500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00-4309-A4E0-DDE982C2D1B1}"/>
            </c:ext>
          </c:extLst>
        </c:ser>
        <c:ser>
          <c:idx val="0"/>
          <c:order val="3"/>
          <c:tx>
            <c:strRef>
              <c:f>Inputs!$B$65</c:f>
              <c:strCache>
                <c:ptCount val="1"/>
                <c:pt idx="0">
                  <c:v>Resultado mercado futuro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Inputs!$D$65:$G$65</c:f>
              <c:numCache>
                <c:formatCode>#,##0;\(#,##0\)</c:formatCode>
                <c:ptCount val="4"/>
                <c:pt idx="0">
                  <c:v>532407.0000000007</c:v>
                </c:pt>
                <c:pt idx="1">
                  <c:v>177292.50000000195</c:v>
                </c:pt>
                <c:pt idx="2">
                  <c:v>85799.99999999888</c:v>
                </c:pt>
                <c:pt idx="3">
                  <c:v>1346.4000000024896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00-4309-A4E0-DDE982C2D1B1}"/>
            </c:ext>
          </c:extLst>
        </c:ser>
        <c:ser>
          <c:idx val="4"/>
          <c:order val="4"/>
          <c:tx>
            <c:strRef>
              <c:f>Inputs!$B$69</c:f>
              <c:strCache>
                <c:ptCount val="1"/>
                <c:pt idx="0">
                  <c:v>Receita físico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Inputs!$D$3:$G$3</c:f>
              <c:numCache>
                <c:formatCode>[$-416]mmm\-yy;@</c:formatCode>
                <c:ptCount val="4"/>
                <c:pt idx="0">
                  <c:v>46021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</c:numCache>
            </c:numRef>
          </c:cat>
          <c:val>
            <c:numRef>
              <c:f>Inputs!$D$69:$G$69</c:f>
              <c:numCache>
                <c:formatCode>#,##0;\(#,##0\)</c:formatCode>
                <c:ptCount val="4"/>
                <c:pt idx="0">
                  <c:v>26253934</c:v>
                </c:pt>
                <c:pt idx="1">
                  <c:v>35804520</c:v>
                </c:pt>
                <c:pt idx="2">
                  <c:v>46405600</c:v>
                </c:pt>
                <c:pt idx="3">
                  <c:v>23573550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00-4309-A4E0-DDE982C2D1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30588719"/>
        <c:axId val="1430593519"/>
      </c:barChart>
      <c:dateAx>
        <c:axId val="1430588719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93519"/>
        <c:crosses val="autoZero"/>
        <c:auto val="1"/>
        <c:lblOffset val="100"/>
        <c:baseTimeUnit val="months"/>
      </c:dateAx>
      <c:valAx>
        <c:axId val="143059351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;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8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783046</xdr:colOff>
      <xdr:row>4</xdr:row>
      <xdr:rowOff>52928</xdr:rowOff>
    </xdr:from>
    <xdr:to>
      <xdr:col>49</xdr:col>
      <xdr:colOff>78441</xdr:colOff>
      <xdr:row>35</xdr:row>
      <xdr:rowOff>32685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58A0D2-98CD-A6BA-8FE1-8F49492C3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651619</xdr:colOff>
      <xdr:row>28</xdr:row>
      <xdr:rowOff>56140</xdr:rowOff>
    </xdr:from>
    <xdr:to>
      <xdr:col>49</xdr:col>
      <xdr:colOff>79374</xdr:colOff>
      <xdr:row>70</xdr:row>
      <xdr:rowOff>31749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AA75CE-414B-6A02-5D39-217657820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15875</xdr:colOff>
      <xdr:row>42</xdr:row>
      <xdr:rowOff>174625</xdr:rowOff>
    </xdr:from>
    <xdr:to>
      <xdr:col>49</xdr:col>
      <xdr:colOff>136770</xdr:colOff>
      <xdr:row>131</xdr:row>
      <xdr:rowOff>111125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2EBD9B-F48A-4667-B966-1B09EF8D46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716A4-BCF9-4BBE-83D8-29763EB3FE2B}">
  <sheetPr>
    <tabColor rgb="FF002060"/>
  </sheetPr>
  <dimension ref="B2:K21"/>
  <sheetViews>
    <sheetView showGridLines="0" zoomScaleNormal="100" workbookViewId="0">
      <pane ySplit="2" topLeftCell="A3" activePane="bottomLeft" state="frozen"/>
      <selection pane="bottomLeft" activeCell="B14" sqref="B14"/>
    </sheetView>
  </sheetViews>
  <sheetFormatPr defaultColWidth="8.77734375" defaultRowHeight="14.4" outlineLevelCol="1" x14ac:dyDescent="0.3"/>
  <cols>
    <col min="1" max="1" width="4.21875" style="3" customWidth="1"/>
    <col min="2" max="2" width="37" style="3" customWidth="1"/>
    <col min="3" max="3" width="7.6640625" style="7" customWidth="1"/>
    <col min="4" max="7" width="11.77734375" style="12" customWidth="1"/>
    <col min="8" max="9" width="11.77734375" style="12" customWidth="1" outlineLevel="1"/>
    <col min="10" max="10" width="11.77734375" style="12" customWidth="1"/>
    <col min="11" max="16384" width="8.77734375" style="3"/>
  </cols>
  <sheetData>
    <row r="2" spans="2:11" x14ac:dyDescent="0.3">
      <c r="B2" s="1" t="s">
        <v>286</v>
      </c>
      <c r="C2" s="2"/>
      <c r="D2" s="1">
        <v>46021</v>
      </c>
      <c r="E2" s="1">
        <f>EOMONTH(D2,1)</f>
        <v>46053</v>
      </c>
      <c r="F2" s="1">
        <f t="shared" ref="F2:G2" si="0">EOMONTH(E2,1)</f>
        <v>46081</v>
      </c>
      <c r="G2" s="1">
        <f t="shared" si="0"/>
        <v>46112</v>
      </c>
      <c r="H2" s="54" t="s">
        <v>281</v>
      </c>
      <c r="I2" s="62" t="s">
        <v>295</v>
      </c>
    </row>
    <row r="3" spans="2:11" x14ac:dyDescent="0.3">
      <c r="B3" s="44" t="s">
        <v>287</v>
      </c>
      <c r="C3" s="45" t="s">
        <v>0</v>
      </c>
      <c r="D3" s="58">
        <v>81890</v>
      </c>
      <c r="E3" s="58">
        <v>110100</v>
      </c>
      <c r="F3" s="58">
        <v>142000</v>
      </c>
      <c r="G3" s="58">
        <v>71500</v>
      </c>
      <c r="H3" s="59">
        <f>SUM(D3:G3)</f>
        <v>405490</v>
      </c>
      <c r="I3" s="65">
        <v>862666.66666666663</v>
      </c>
      <c r="J3" s="69">
        <f>H3/I3</f>
        <v>0.47004250386398766</v>
      </c>
      <c r="K3" s="3" t="s">
        <v>297</v>
      </c>
    </row>
    <row r="4" spans="2:11" x14ac:dyDescent="0.3">
      <c r="B4" s="3" t="s">
        <v>292</v>
      </c>
      <c r="C4" s="4" t="s">
        <v>0</v>
      </c>
      <c r="D4" s="56">
        <v>28130</v>
      </c>
      <c r="E4" s="56">
        <v>44100</v>
      </c>
      <c r="F4" s="56">
        <v>109000</v>
      </c>
      <c r="G4" s="56">
        <v>22000</v>
      </c>
      <c r="H4" s="51">
        <f>SUM(D4:G4)</f>
        <v>203230</v>
      </c>
      <c r="I4" s="64">
        <f>H4/I3</f>
        <v>0.2355834621329212</v>
      </c>
    </row>
    <row r="5" spans="2:11" x14ac:dyDescent="0.3">
      <c r="B5" s="3" t="s">
        <v>284</v>
      </c>
      <c r="C5" s="4" t="s">
        <v>0</v>
      </c>
      <c r="D5" s="56">
        <v>-21370</v>
      </c>
      <c r="E5" s="56">
        <v>-5400</v>
      </c>
      <c r="F5" s="56">
        <v>76000</v>
      </c>
      <c r="G5" s="56">
        <v>-11000</v>
      </c>
      <c r="H5" s="51">
        <f>SUM(D5:G5)</f>
        <v>38230</v>
      </c>
      <c r="I5" s="64">
        <f>H5/I3</f>
        <v>4.43160741885626E-2</v>
      </c>
    </row>
    <row r="6" spans="2:11" x14ac:dyDescent="0.3">
      <c r="B6" s="3" t="s">
        <v>285</v>
      </c>
      <c r="C6" s="4" t="s">
        <v>0</v>
      </c>
      <c r="D6" s="56">
        <v>77630</v>
      </c>
      <c r="E6" s="56">
        <v>93600</v>
      </c>
      <c r="F6" s="56">
        <v>142000</v>
      </c>
      <c r="G6" s="56">
        <v>55000</v>
      </c>
      <c r="H6" s="51">
        <f>SUM(D6:G6)</f>
        <v>368230</v>
      </c>
      <c r="I6" s="64">
        <f>H6/I3</f>
        <v>0.4268508500772798</v>
      </c>
    </row>
    <row r="7" spans="2:11" x14ac:dyDescent="0.3">
      <c r="I7" s="63"/>
    </row>
    <row r="8" spans="2:11" x14ac:dyDescent="0.3">
      <c r="B8" s="44" t="s">
        <v>288</v>
      </c>
      <c r="C8" s="60" t="s">
        <v>280</v>
      </c>
      <c r="D8" s="61"/>
      <c r="E8" s="61"/>
      <c r="F8" s="61"/>
      <c r="G8" s="61"/>
      <c r="H8" s="61"/>
      <c r="I8" s="63"/>
    </row>
    <row r="9" spans="2:11" x14ac:dyDescent="0.3">
      <c r="B9" s="3" t="s">
        <v>292</v>
      </c>
      <c r="C9" s="4" t="s">
        <v>280</v>
      </c>
      <c r="D9" s="48">
        <f>D4/D$3</f>
        <v>0.34350958603004028</v>
      </c>
      <c r="E9" s="48">
        <f t="shared" ref="E9:G9" si="1">E4/E$3</f>
        <v>0.40054495912806537</v>
      </c>
      <c r="F9" s="48">
        <f t="shared" si="1"/>
        <v>0.76760563380281688</v>
      </c>
      <c r="G9" s="48">
        <f t="shared" si="1"/>
        <v>0.30769230769230771</v>
      </c>
      <c r="H9" s="57">
        <f>AVERAGE(D9:G9)</f>
        <v>0.45483812166330756</v>
      </c>
      <c r="I9" s="64"/>
    </row>
    <row r="10" spans="2:11" x14ac:dyDescent="0.3">
      <c r="B10" s="3" t="s">
        <v>284</v>
      </c>
      <c r="C10" s="4" t="s">
        <v>280</v>
      </c>
      <c r="D10" s="48">
        <f t="shared" ref="D10:G10" si="2">D5/D$3</f>
        <v>-0.26095982415435343</v>
      </c>
      <c r="E10" s="48">
        <f t="shared" si="2"/>
        <v>-4.9046321525885561E-2</v>
      </c>
      <c r="F10" s="48">
        <f t="shared" si="2"/>
        <v>0.53521126760563376</v>
      </c>
      <c r="G10" s="48">
        <f t="shared" si="2"/>
        <v>-0.15384615384615385</v>
      </c>
      <c r="H10" s="57">
        <f t="shared" ref="H10:H11" si="3">AVERAGE(D10:G10)</f>
        <v>1.7839742019810229E-2</v>
      </c>
      <c r="I10" s="64"/>
    </row>
    <row r="11" spans="2:11" x14ac:dyDescent="0.3">
      <c r="B11" s="3" t="s">
        <v>285</v>
      </c>
      <c r="C11" s="4" t="s">
        <v>280</v>
      </c>
      <c r="D11" s="48">
        <f>D6/D$3</f>
        <v>0.94797899621443404</v>
      </c>
      <c r="E11" s="48">
        <f t="shared" ref="E11:G11" si="4">E6/E$3</f>
        <v>0.85013623978201636</v>
      </c>
      <c r="F11" s="48">
        <f t="shared" si="4"/>
        <v>1</v>
      </c>
      <c r="G11" s="48">
        <f t="shared" si="4"/>
        <v>0.76923076923076927</v>
      </c>
      <c r="H11" s="57">
        <f t="shared" si="3"/>
        <v>0.89183650130680492</v>
      </c>
      <c r="I11" s="64"/>
    </row>
    <row r="12" spans="2:11" x14ac:dyDescent="0.3">
      <c r="I12" s="63"/>
    </row>
    <row r="13" spans="2:11" x14ac:dyDescent="0.3">
      <c r="B13" s="44" t="s">
        <v>32</v>
      </c>
      <c r="C13" s="60"/>
      <c r="D13" s="61"/>
      <c r="E13" s="61"/>
      <c r="F13" s="61"/>
      <c r="G13" s="61"/>
      <c r="H13" s="61"/>
      <c r="I13" s="65">
        <v>305332928.44999999</v>
      </c>
    </row>
    <row r="14" spans="2:11" x14ac:dyDescent="0.3">
      <c r="B14" s="3" t="s">
        <v>293</v>
      </c>
      <c r="C14" s="4" t="s">
        <v>23</v>
      </c>
      <c r="D14" s="56">
        <v>27551281</v>
      </c>
      <c r="E14" s="56">
        <v>36826612.5</v>
      </c>
      <c r="F14" s="56">
        <v>46969900</v>
      </c>
      <c r="G14" s="56">
        <v>24119396.400000002</v>
      </c>
      <c r="H14" s="51">
        <f t="shared" ref="H14:H16" si="5">SUM(D14:G14)</f>
        <v>135467189.90000001</v>
      </c>
      <c r="I14" s="64">
        <f>H14/I$13</f>
        <v>0.44367042424048125</v>
      </c>
    </row>
    <row r="15" spans="2:11" x14ac:dyDescent="0.3">
      <c r="B15" s="3" t="s">
        <v>282</v>
      </c>
      <c r="C15" s="4" t="s">
        <v>23</v>
      </c>
      <c r="D15" s="56">
        <v>27635803</v>
      </c>
      <c r="E15" s="56">
        <v>37177792.5</v>
      </c>
      <c r="F15" s="56">
        <v>49003700</v>
      </c>
      <c r="G15" s="56">
        <v>24070996.400000002</v>
      </c>
      <c r="H15" s="51">
        <f t="shared" si="5"/>
        <v>137888291.90000001</v>
      </c>
      <c r="I15" s="64">
        <f t="shared" ref="I15:I16" si="6">H15/I$13</f>
        <v>0.45159980811758405</v>
      </c>
    </row>
    <row r="16" spans="2:11" x14ac:dyDescent="0.3">
      <c r="B16" s="3" t="s">
        <v>283</v>
      </c>
      <c r="C16" s="4" t="s">
        <v>23</v>
      </c>
      <c r="D16" s="56">
        <v>25981803</v>
      </c>
      <c r="E16" s="56">
        <v>34725292.5</v>
      </c>
      <c r="F16" s="56">
        <v>43223700</v>
      </c>
      <c r="G16" s="56">
        <v>22640996.400000002</v>
      </c>
      <c r="H16" s="51">
        <f t="shared" si="5"/>
        <v>126571791.90000001</v>
      </c>
      <c r="I16" s="64">
        <f t="shared" si="6"/>
        <v>0.41453698604514205</v>
      </c>
    </row>
    <row r="17" spans="2:9" x14ac:dyDescent="0.3">
      <c r="I17" s="63"/>
    </row>
    <row r="18" spans="2:9" x14ac:dyDescent="0.3">
      <c r="B18" s="44" t="s">
        <v>289</v>
      </c>
      <c r="C18" s="60"/>
      <c r="D18" s="61"/>
      <c r="E18" s="61"/>
      <c r="F18" s="61"/>
      <c r="G18" s="61"/>
      <c r="H18" s="61"/>
      <c r="I18" s="65">
        <v>34867030.734265625</v>
      </c>
    </row>
    <row r="19" spans="2:9" x14ac:dyDescent="0.3">
      <c r="B19" s="3" t="s">
        <v>294</v>
      </c>
      <c r="C19" s="4" t="s">
        <v>23</v>
      </c>
      <c r="D19" s="56">
        <v>1653662.0344827585</v>
      </c>
      <c r="E19" s="56">
        <v>6692629.7413793132</v>
      </c>
      <c r="F19" s="56">
        <v>12045417.241379306</v>
      </c>
      <c r="G19" s="56">
        <v>-217931.18620689586</v>
      </c>
      <c r="H19" s="51">
        <f t="shared" ref="H19:H21" si="7">SUM(D19:G19)</f>
        <v>20173777.831034482</v>
      </c>
      <c r="I19" s="64">
        <f>H19/I$18</f>
        <v>0.57859179305476882</v>
      </c>
    </row>
    <row r="20" spans="2:9" x14ac:dyDescent="0.3">
      <c r="B20" s="3" t="s">
        <v>290</v>
      </c>
      <c r="C20" s="4" t="s">
        <v>23</v>
      </c>
      <c r="D20" s="56">
        <v>1738184.0344827585</v>
      </c>
      <c r="E20" s="56">
        <v>7043809.7413793132</v>
      </c>
      <c r="F20" s="56">
        <v>14079217.241379306</v>
      </c>
      <c r="G20" s="56">
        <v>-266331.18620689586</v>
      </c>
      <c r="H20" s="51">
        <f t="shared" si="7"/>
        <v>22594879.831034482</v>
      </c>
      <c r="I20" s="64">
        <f>H20/I$18</f>
        <v>0.64802993989474789</v>
      </c>
    </row>
    <row r="21" spans="2:9" x14ac:dyDescent="0.3">
      <c r="B21" s="3" t="s">
        <v>291</v>
      </c>
      <c r="C21" s="4" t="s">
        <v>23</v>
      </c>
      <c r="D21" s="56">
        <v>84184.034482758492</v>
      </c>
      <c r="E21" s="56">
        <v>4591309.7413793132</v>
      </c>
      <c r="F21" s="56">
        <v>8299217.2413793057</v>
      </c>
      <c r="G21" s="56">
        <v>-1696331.1862068959</v>
      </c>
      <c r="H21" s="51">
        <f t="shared" si="7"/>
        <v>11278379.831034482</v>
      </c>
      <c r="I21" s="64">
        <f>H21/I$18</f>
        <v>0.32346831931262321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1B05-9F38-461E-9D8E-BDC1627B1D30}">
  <sheetPr>
    <tabColor rgb="FF002060"/>
  </sheetPr>
  <dimension ref="B2:T108"/>
  <sheetViews>
    <sheetView showGridLines="0" tabSelected="1" zoomScale="70" zoomScaleNormal="70" workbookViewId="0">
      <pane ySplit="3" topLeftCell="A4" activePane="bottomLeft" state="frozen"/>
      <selection pane="bottomLeft" activeCell="P17" sqref="P17"/>
    </sheetView>
  </sheetViews>
  <sheetFormatPr defaultColWidth="8.77734375" defaultRowHeight="14.4" outlineLevelRow="1" outlineLevelCol="1" x14ac:dyDescent="0.3"/>
  <cols>
    <col min="1" max="1" width="4.21875" style="3" customWidth="1"/>
    <col min="2" max="2" width="33.33203125" style="3" bestFit="1" customWidth="1"/>
    <col min="3" max="3" width="6.109375" style="7" bestFit="1" customWidth="1"/>
    <col min="4" max="7" width="12.21875" style="12" bestFit="1" customWidth="1"/>
    <col min="8" max="15" width="12.21875" style="12" bestFit="1" customWidth="1" outlineLevel="1"/>
    <col min="16" max="16" width="10.88671875" style="12" bestFit="1" customWidth="1"/>
    <col min="17" max="16384" width="8.77734375" style="3"/>
  </cols>
  <sheetData>
    <row r="2" spans="2:16" x14ac:dyDescent="0.3">
      <c r="B2" s="3" t="s">
        <v>27</v>
      </c>
      <c r="D2" s="40">
        <f>D72</f>
        <v>336.44255708877762</v>
      </c>
      <c r="E2" s="40">
        <f>E72</f>
        <v>334.48331062670297</v>
      </c>
      <c r="F2" s="40">
        <f>F72</f>
        <v>330.77394366197183</v>
      </c>
      <c r="G2" s="40">
        <f>G72</f>
        <v>337.33421538461539</v>
      </c>
      <c r="H2" s="40" t="e">
        <f t="shared" ref="H2:N2" si="0">H72</f>
        <v>#DIV/0!</v>
      </c>
      <c r="I2" s="40" t="e">
        <f t="shared" si="0"/>
        <v>#DIV/0!</v>
      </c>
      <c r="J2" s="40" t="e">
        <f t="shared" si="0"/>
        <v>#DIV/0!</v>
      </c>
      <c r="K2" s="40" t="e">
        <f t="shared" si="0"/>
        <v>#DIV/0!</v>
      </c>
      <c r="L2" s="40" t="e">
        <f t="shared" si="0"/>
        <v>#DIV/0!</v>
      </c>
      <c r="M2" s="40" t="e">
        <f t="shared" si="0"/>
        <v>#DIV/0!</v>
      </c>
      <c r="N2" s="40" t="e">
        <f t="shared" si="0"/>
        <v>#DIV/0!</v>
      </c>
      <c r="O2" s="40" t="e">
        <f t="shared" ref="O2" si="1">O72</f>
        <v>#DIV/0!</v>
      </c>
    </row>
    <row r="3" spans="2:16" x14ac:dyDescent="0.3">
      <c r="B3" s="1" t="s">
        <v>4</v>
      </c>
      <c r="C3" s="2"/>
      <c r="D3" s="1">
        <v>46021</v>
      </c>
      <c r="E3" s="1">
        <f>EOMONTH(D3,1)</f>
        <v>46053</v>
      </c>
      <c r="F3" s="1">
        <f t="shared" ref="F3" si="2">EOMONTH(E3,1)</f>
        <v>46081</v>
      </c>
      <c r="G3" s="1">
        <f t="shared" ref="G3" si="3">EOMONTH(F3,1)</f>
        <v>46112</v>
      </c>
      <c r="H3" s="1">
        <f t="shared" ref="H3" si="4">EOMONTH(G3,1)</f>
        <v>46142</v>
      </c>
      <c r="I3" s="1">
        <f t="shared" ref="I3" si="5">EOMONTH(H3,1)</f>
        <v>46173</v>
      </c>
      <c r="J3" s="1">
        <f t="shared" ref="J3" si="6">EOMONTH(I3,1)</f>
        <v>46203</v>
      </c>
      <c r="K3" s="1">
        <f t="shared" ref="K3" si="7">EOMONTH(J3,1)</f>
        <v>46234</v>
      </c>
      <c r="L3" s="1">
        <f t="shared" ref="L3" si="8">EOMONTH(K3,1)</f>
        <v>46265</v>
      </c>
      <c r="M3" s="1">
        <f t="shared" ref="M3" si="9">EOMONTH(L3,1)</f>
        <v>46295</v>
      </c>
      <c r="N3" s="1">
        <f t="shared" ref="N3" si="10">EOMONTH(M3,1)</f>
        <v>46326</v>
      </c>
      <c r="O3" s="1">
        <f t="shared" ref="O3" si="11">EOMONTH(N3,1)</f>
        <v>46356</v>
      </c>
    </row>
    <row r="4" spans="2:16" x14ac:dyDescent="0.3">
      <c r="B4" s="3" t="s">
        <v>1</v>
      </c>
      <c r="C4" s="4" t="s">
        <v>0</v>
      </c>
      <c r="D4" s="51">
        <f>D6*D11</f>
        <v>36709.310344827587</v>
      </c>
      <c r="E4" s="51">
        <f t="shared" ref="E4:O4" si="12">E6*E11</f>
        <v>49355.172413793101</v>
      </c>
      <c r="F4" s="51">
        <f t="shared" si="12"/>
        <v>63655.172413793101</v>
      </c>
      <c r="G4" s="51">
        <f t="shared" si="12"/>
        <v>32051.724137931036</v>
      </c>
      <c r="H4" s="51">
        <f t="shared" si="12"/>
        <v>0</v>
      </c>
      <c r="I4" s="51">
        <f t="shared" si="12"/>
        <v>0</v>
      </c>
      <c r="J4" s="51">
        <f t="shared" si="12"/>
        <v>0</v>
      </c>
      <c r="K4" s="51">
        <f t="shared" si="12"/>
        <v>0</v>
      </c>
      <c r="L4" s="51">
        <f t="shared" si="12"/>
        <v>0</v>
      </c>
      <c r="M4" s="51">
        <f t="shared" si="12"/>
        <v>0</v>
      </c>
      <c r="N4" s="51">
        <f t="shared" si="12"/>
        <v>0</v>
      </c>
      <c r="O4" s="51">
        <f t="shared" si="12"/>
        <v>0</v>
      </c>
    </row>
    <row r="5" spans="2:16" x14ac:dyDescent="0.3">
      <c r="B5" s="3" t="s">
        <v>2</v>
      </c>
      <c r="C5" s="4" t="s">
        <v>0</v>
      </c>
      <c r="D5" s="51">
        <f>D6*D12</f>
        <v>45180.689655172413</v>
      </c>
      <c r="E5" s="51">
        <f t="shared" ref="E5:O5" si="13">E6*E12</f>
        <v>60744.827586206899</v>
      </c>
      <c r="F5" s="51">
        <f t="shared" si="13"/>
        <v>78344.827586206899</v>
      </c>
      <c r="G5" s="51">
        <f t="shared" si="13"/>
        <v>39448.275862068964</v>
      </c>
      <c r="H5" s="51">
        <f t="shared" si="13"/>
        <v>0</v>
      </c>
      <c r="I5" s="51">
        <f t="shared" si="13"/>
        <v>0</v>
      </c>
      <c r="J5" s="51">
        <f t="shared" si="13"/>
        <v>0</v>
      </c>
      <c r="K5" s="51">
        <f t="shared" si="13"/>
        <v>0</v>
      </c>
      <c r="L5" s="51">
        <f t="shared" si="13"/>
        <v>0</v>
      </c>
      <c r="M5" s="51">
        <f t="shared" si="13"/>
        <v>0</v>
      </c>
      <c r="N5" s="51">
        <f t="shared" si="13"/>
        <v>0</v>
      </c>
      <c r="O5" s="51">
        <f t="shared" si="13"/>
        <v>0</v>
      </c>
    </row>
    <row r="6" spans="2:16" x14ac:dyDescent="0.3">
      <c r="B6" s="6" t="s">
        <v>3</v>
      </c>
      <c r="C6" s="13" t="s">
        <v>0</v>
      </c>
      <c r="D6" s="50">
        <f>Base!V41*Inputs!D15</f>
        <v>81890</v>
      </c>
      <c r="E6" s="50">
        <f>Base!Y41*Inputs!E15</f>
        <v>110100</v>
      </c>
      <c r="F6" s="50">
        <f>Base!AB41*Inputs!E15</f>
        <v>142000</v>
      </c>
      <c r="G6" s="50">
        <f>Base!AE41*Inputs!F15</f>
        <v>71500</v>
      </c>
      <c r="H6" s="49"/>
      <c r="I6" s="49"/>
      <c r="J6" s="49"/>
      <c r="K6" s="49"/>
      <c r="L6" s="49"/>
      <c r="M6" s="49"/>
      <c r="N6" s="49"/>
      <c r="O6" s="49"/>
    </row>
    <row r="7" spans="2:16" x14ac:dyDescent="0.3">
      <c r="B7" s="30" t="s">
        <v>41</v>
      </c>
      <c r="C7" s="32" t="s">
        <v>42</v>
      </c>
      <c r="D7" s="51">
        <f>D6/D10</f>
        <v>5118.125</v>
      </c>
      <c r="E7" s="51">
        <f t="shared" ref="E7:O7" si="14">E6/E10</f>
        <v>6881.25</v>
      </c>
      <c r="F7" s="51">
        <f t="shared" si="14"/>
        <v>8875</v>
      </c>
      <c r="G7" s="51">
        <f t="shared" si="14"/>
        <v>4468.75</v>
      </c>
      <c r="H7" s="51">
        <f t="shared" si="14"/>
        <v>0</v>
      </c>
      <c r="I7" s="51">
        <f t="shared" si="14"/>
        <v>0</v>
      </c>
      <c r="J7" s="51">
        <f t="shared" si="14"/>
        <v>0</v>
      </c>
      <c r="K7" s="51">
        <f t="shared" si="14"/>
        <v>0</v>
      </c>
      <c r="L7" s="51">
        <f t="shared" si="14"/>
        <v>0</v>
      </c>
      <c r="M7" s="51">
        <f t="shared" si="14"/>
        <v>0</v>
      </c>
      <c r="N7" s="51">
        <f t="shared" si="14"/>
        <v>0</v>
      </c>
      <c r="O7" s="51">
        <f t="shared" si="14"/>
        <v>0</v>
      </c>
      <c r="P7" s="40">
        <f>SUM(D7:G7)</f>
        <v>25343.125</v>
      </c>
    </row>
    <row r="8" spans="2:16" x14ac:dyDescent="0.3"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2:16" x14ac:dyDescent="0.3">
      <c r="B9" s="3" t="s">
        <v>262</v>
      </c>
      <c r="C9" s="4" t="s">
        <v>0</v>
      </c>
      <c r="D9" s="11">
        <v>13</v>
      </c>
      <c r="E9" s="11">
        <v>13</v>
      </c>
      <c r="F9" s="11">
        <v>13</v>
      </c>
      <c r="G9" s="11">
        <v>13</v>
      </c>
      <c r="H9" s="11">
        <v>12</v>
      </c>
      <c r="I9" s="11">
        <v>12</v>
      </c>
      <c r="J9" s="11">
        <v>12</v>
      </c>
      <c r="K9" s="11">
        <v>12</v>
      </c>
      <c r="L9" s="11">
        <v>12</v>
      </c>
      <c r="M9" s="11">
        <v>12</v>
      </c>
      <c r="N9" s="11">
        <v>12</v>
      </c>
      <c r="O9" s="11">
        <v>12</v>
      </c>
    </row>
    <row r="10" spans="2:16" x14ac:dyDescent="0.3">
      <c r="B10" s="3" t="s">
        <v>263</v>
      </c>
      <c r="C10" s="4" t="s">
        <v>0</v>
      </c>
      <c r="D10" s="11">
        <v>16</v>
      </c>
      <c r="E10" s="11">
        <v>16</v>
      </c>
      <c r="F10" s="11">
        <v>16</v>
      </c>
      <c r="G10" s="11">
        <v>16</v>
      </c>
      <c r="H10" s="11">
        <v>16</v>
      </c>
      <c r="I10" s="11">
        <v>16</v>
      </c>
      <c r="J10" s="11">
        <v>16</v>
      </c>
      <c r="K10" s="11">
        <v>16</v>
      </c>
      <c r="L10" s="11">
        <v>16</v>
      </c>
      <c r="M10" s="11">
        <v>16</v>
      </c>
      <c r="N10" s="11">
        <v>16</v>
      </c>
      <c r="O10" s="11">
        <v>16</v>
      </c>
    </row>
    <row r="11" spans="2:16" x14ac:dyDescent="0.3">
      <c r="B11" s="3" t="s">
        <v>262</v>
      </c>
      <c r="C11" s="4" t="s">
        <v>0</v>
      </c>
      <c r="D11" s="48">
        <f>D9/SUM(D9:D10)</f>
        <v>0.44827586206896552</v>
      </c>
      <c r="E11" s="48">
        <f t="shared" ref="E11:O11" si="15">E9/SUM(E9:E10)</f>
        <v>0.44827586206896552</v>
      </c>
      <c r="F11" s="48">
        <f t="shared" si="15"/>
        <v>0.44827586206896552</v>
      </c>
      <c r="G11" s="48">
        <f t="shared" si="15"/>
        <v>0.44827586206896552</v>
      </c>
      <c r="H11" s="48">
        <f t="shared" si="15"/>
        <v>0.42857142857142855</v>
      </c>
      <c r="I11" s="48">
        <f t="shared" si="15"/>
        <v>0.42857142857142855</v>
      </c>
      <c r="J11" s="48">
        <f t="shared" si="15"/>
        <v>0.42857142857142855</v>
      </c>
      <c r="K11" s="48">
        <f t="shared" si="15"/>
        <v>0.42857142857142855</v>
      </c>
      <c r="L11" s="48">
        <f t="shared" si="15"/>
        <v>0.42857142857142855</v>
      </c>
      <c r="M11" s="48">
        <f t="shared" si="15"/>
        <v>0.42857142857142855</v>
      </c>
      <c r="N11" s="48">
        <f t="shared" si="15"/>
        <v>0.42857142857142855</v>
      </c>
      <c r="O11" s="48">
        <f t="shared" si="15"/>
        <v>0.42857142857142855</v>
      </c>
    </row>
    <row r="12" spans="2:16" x14ac:dyDescent="0.3">
      <c r="B12" s="3" t="s">
        <v>263</v>
      </c>
      <c r="C12" s="4" t="s">
        <v>0</v>
      </c>
      <c r="D12" s="48">
        <f>D10/SUM(D9:D10)</f>
        <v>0.55172413793103448</v>
      </c>
      <c r="E12" s="48">
        <f t="shared" ref="E12:O12" si="16">E10/SUM(E9:E10)</f>
        <v>0.55172413793103448</v>
      </c>
      <c r="F12" s="48">
        <f t="shared" si="16"/>
        <v>0.55172413793103448</v>
      </c>
      <c r="G12" s="48">
        <f t="shared" si="16"/>
        <v>0.55172413793103448</v>
      </c>
      <c r="H12" s="48">
        <f t="shared" si="16"/>
        <v>0.5714285714285714</v>
      </c>
      <c r="I12" s="48">
        <f t="shared" si="16"/>
        <v>0.5714285714285714</v>
      </c>
      <c r="J12" s="48">
        <f t="shared" si="16"/>
        <v>0.5714285714285714</v>
      </c>
      <c r="K12" s="48">
        <f t="shared" si="16"/>
        <v>0.5714285714285714</v>
      </c>
      <c r="L12" s="48">
        <f t="shared" si="16"/>
        <v>0.5714285714285714</v>
      </c>
      <c r="M12" s="48">
        <f t="shared" si="16"/>
        <v>0.5714285714285714</v>
      </c>
      <c r="N12" s="48">
        <f t="shared" si="16"/>
        <v>0.5714285714285714</v>
      </c>
      <c r="O12" s="48">
        <f t="shared" si="16"/>
        <v>0.5714285714285714</v>
      </c>
    </row>
    <row r="13" spans="2:16" x14ac:dyDescent="0.3"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2:16" x14ac:dyDescent="0.3">
      <c r="B14" s="14" t="s">
        <v>5</v>
      </c>
      <c r="C14" s="15"/>
      <c r="D14" s="14">
        <v>46021</v>
      </c>
      <c r="E14" s="14">
        <f>EOMONTH(D14,1)</f>
        <v>46053</v>
      </c>
      <c r="F14" s="14">
        <f t="shared" ref="F14" si="17">EOMONTH(E14,1)</f>
        <v>46081</v>
      </c>
      <c r="G14" s="14">
        <f t="shared" ref="G14" si="18">EOMONTH(F14,1)</f>
        <v>46112</v>
      </c>
      <c r="H14" s="14">
        <f t="shared" ref="H14" si="19">EOMONTH(G14,1)</f>
        <v>46142</v>
      </c>
      <c r="I14" s="14">
        <f t="shared" ref="I14" si="20">EOMONTH(H14,1)</f>
        <v>46173</v>
      </c>
      <c r="J14" s="14">
        <f t="shared" ref="J14" si="21">EOMONTH(I14,1)</f>
        <v>46203</v>
      </c>
      <c r="K14" s="14">
        <f t="shared" ref="K14" si="22">EOMONTH(J14,1)</f>
        <v>46234</v>
      </c>
      <c r="L14" s="14">
        <f t="shared" ref="L14" si="23">EOMONTH(K14,1)</f>
        <v>46265</v>
      </c>
      <c r="M14" s="14">
        <f t="shared" ref="M14" si="24">EOMONTH(L14,1)</f>
        <v>46295</v>
      </c>
      <c r="N14" s="14">
        <f t="shared" ref="N14:O14" si="25">EOMONTH(M14,1)</f>
        <v>46326</v>
      </c>
      <c r="O14" s="14">
        <f t="shared" si="25"/>
        <v>46356</v>
      </c>
    </row>
    <row r="15" spans="2:16" x14ac:dyDescent="0.3">
      <c r="B15" s="3" t="s">
        <v>20</v>
      </c>
      <c r="C15" s="4" t="s">
        <v>21</v>
      </c>
      <c r="D15" s="11">
        <v>330</v>
      </c>
      <c r="E15" s="11">
        <v>330</v>
      </c>
      <c r="F15" s="11">
        <v>330</v>
      </c>
      <c r="G15" s="11">
        <v>330</v>
      </c>
      <c r="H15" s="11">
        <v>330</v>
      </c>
      <c r="I15" s="11">
        <v>330</v>
      </c>
      <c r="J15" s="11">
        <v>330</v>
      </c>
      <c r="K15" s="11">
        <v>330</v>
      </c>
      <c r="L15" s="11">
        <v>330</v>
      </c>
      <c r="M15" s="11">
        <v>330</v>
      </c>
      <c r="N15" s="11">
        <v>330</v>
      </c>
      <c r="O15" s="11">
        <v>330</v>
      </c>
    </row>
    <row r="16" spans="2:16" x14ac:dyDescent="0.3">
      <c r="B16" s="3" t="s">
        <v>44</v>
      </c>
      <c r="C16" s="4" t="s">
        <v>12</v>
      </c>
      <c r="D16" s="11">
        <v>320.60000000000002</v>
      </c>
      <c r="E16" s="11">
        <v>325.2</v>
      </c>
      <c r="F16" s="11">
        <v>326.8</v>
      </c>
      <c r="G16" s="11">
        <v>329.7</v>
      </c>
      <c r="H16" s="11">
        <v>327</v>
      </c>
      <c r="I16" s="11">
        <v>327</v>
      </c>
      <c r="J16" s="11">
        <v>327</v>
      </c>
      <c r="K16" s="11">
        <v>327</v>
      </c>
      <c r="L16" s="11">
        <v>327</v>
      </c>
      <c r="M16" s="11">
        <v>327</v>
      </c>
      <c r="N16" s="11">
        <v>327</v>
      </c>
      <c r="O16" s="11">
        <v>327</v>
      </c>
    </row>
    <row r="17" spans="2:15" x14ac:dyDescent="0.3">
      <c r="B17" s="16" t="s">
        <v>6</v>
      </c>
      <c r="C17" s="17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2:15" x14ac:dyDescent="0.3">
      <c r="B18" s="3" t="s">
        <v>10</v>
      </c>
      <c r="C18" s="4" t="s">
        <v>12</v>
      </c>
      <c r="D18" s="47">
        <f>Base!EE17</f>
        <v>335</v>
      </c>
      <c r="E18" s="47">
        <f>Base!EZ17</f>
        <v>335</v>
      </c>
      <c r="F18" s="47">
        <f>Base!FL17</f>
        <v>335</v>
      </c>
      <c r="G18" s="47">
        <f>Base!FO17</f>
        <v>335</v>
      </c>
      <c r="H18" s="47"/>
      <c r="I18" s="47"/>
      <c r="J18" s="47"/>
      <c r="K18" s="47"/>
      <c r="L18" s="47"/>
      <c r="M18" s="47"/>
      <c r="N18" s="47"/>
      <c r="O18" s="47"/>
    </row>
    <row r="19" spans="2:15" x14ac:dyDescent="0.3">
      <c r="B19" s="3" t="s">
        <v>14</v>
      </c>
      <c r="C19" s="4" t="s">
        <v>15</v>
      </c>
      <c r="D19" s="47">
        <f>Base!EE19</f>
        <v>-150</v>
      </c>
      <c r="E19" s="47">
        <f>Base!EZ19</f>
        <v>-150</v>
      </c>
      <c r="F19" s="47">
        <f>Base!FL19</f>
        <v>-100</v>
      </c>
      <c r="G19" s="47">
        <f>Base!FO19</f>
        <v>-100</v>
      </c>
      <c r="H19" s="47"/>
      <c r="I19" s="47"/>
      <c r="J19" s="47"/>
      <c r="K19" s="47"/>
      <c r="L19" s="47"/>
      <c r="M19" s="47"/>
      <c r="N19" s="47"/>
      <c r="O19" s="47"/>
    </row>
    <row r="20" spans="2:15" x14ac:dyDescent="0.3">
      <c r="B20" s="3" t="s">
        <v>26</v>
      </c>
      <c r="D20" s="22">
        <f>D19*D15</f>
        <v>-49500</v>
      </c>
      <c r="E20" s="22">
        <f t="shared" ref="E20:G20" si="26">E19*E15</f>
        <v>-49500</v>
      </c>
      <c r="F20" s="22">
        <f t="shared" si="26"/>
        <v>-33000</v>
      </c>
      <c r="G20" s="22">
        <f t="shared" si="26"/>
        <v>-33000</v>
      </c>
      <c r="H20" s="22">
        <f t="shared" ref="H20:N20" si="27">H19*H15</f>
        <v>0</v>
      </c>
      <c r="I20" s="22">
        <f t="shared" si="27"/>
        <v>0</v>
      </c>
      <c r="J20" s="22">
        <f t="shared" si="27"/>
        <v>0</v>
      </c>
      <c r="K20" s="22">
        <f t="shared" si="27"/>
        <v>0</v>
      </c>
      <c r="L20" s="22">
        <f t="shared" si="27"/>
        <v>0</v>
      </c>
      <c r="M20" s="22">
        <f t="shared" si="27"/>
        <v>0</v>
      </c>
      <c r="N20" s="22">
        <f t="shared" si="27"/>
        <v>0</v>
      </c>
      <c r="O20" s="22">
        <f t="shared" ref="O20" si="28">O19*O15</f>
        <v>0</v>
      </c>
    </row>
    <row r="21" spans="2:15" x14ac:dyDescent="0.3">
      <c r="B21" s="3" t="s">
        <v>8</v>
      </c>
      <c r="C21" s="4" t="s">
        <v>13</v>
      </c>
      <c r="D21" s="21">
        <v>46021</v>
      </c>
      <c r="E21" s="21">
        <f>EOMONTH(D21,1)</f>
        <v>46053</v>
      </c>
      <c r="F21" s="21">
        <f t="shared" ref="F21:O21" si="29">EOMONTH(E21,1)</f>
        <v>46081</v>
      </c>
      <c r="G21" s="21">
        <f t="shared" si="29"/>
        <v>46112</v>
      </c>
      <c r="H21" s="21">
        <f t="shared" si="29"/>
        <v>46142</v>
      </c>
      <c r="I21" s="21">
        <f t="shared" si="29"/>
        <v>46173</v>
      </c>
      <c r="J21" s="21">
        <f t="shared" si="29"/>
        <v>46203</v>
      </c>
      <c r="K21" s="21">
        <f t="shared" si="29"/>
        <v>46234</v>
      </c>
      <c r="L21" s="21">
        <f t="shared" si="29"/>
        <v>46265</v>
      </c>
      <c r="M21" s="21">
        <f t="shared" si="29"/>
        <v>46295</v>
      </c>
      <c r="N21" s="21">
        <f t="shared" si="29"/>
        <v>46326</v>
      </c>
      <c r="O21" s="21">
        <f t="shared" si="29"/>
        <v>46356</v>
      </c>
    </row>
    <row r="22" spans="2:15" x14ac:dyDescent="0.3">
      <c r="B22" s="3" t="s">
        <v>7</v>
      </c>
      <c r="C22" s="4" t="s">
        <v>12</v>
      </c>
      <c r="D22" s="47">
        <f>Base!EE18</f>
        <v>6.9733333333333336</v>
      </c>
      <c r="E22" s="47">
        <f>Base!EZ18</f>
        <v>9.09</v>
      </c>
      <c r="F22" s="47">
        <f>Base!FL18</f>
        <v>7</v>
      </c>
      <c r="G22" s="47">
        <f>Base!FO18</f>
        <v>8</v>
      </c>
      <c r="H22" s="47"/>
      <c r="I22" s="47"/>
      <c r="J22" s="47"/>
      <c r="K22" s="47"/>
      <c r="L22" s="47"/>
      <c r="M22" s="47"/>
      <c r="N22" s="47"/>
      <c r="O22" s="47"/>
    </row>
    <row r="23" spans="2:15" x14ac:dyDescent="0.3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2:15" x14ac:dyDescent="0.3">
      <c r="B24" s="3" t="s">
        <v>24</v>
      </c>
      <c r="C24" s="4" t="s">
        <v>23</v>
      </c>
      <c r="D24" s="22">
        <f>-D22*D19*D15</f>
        <v>345180</v>
      </c>
      <c r="E24" s="22">
        <f>-E22*E19*E15</f>
        <v>449955</v>
      </c>
      <c r="F24" s="22">
        <f>-F22*F19*F15</f>
        <v>231000</v>
      </c>
      <c r="G24" s="22">
        <f>-G22*G19*G15</f>
        <v>264000</v>
      </c>
      <c r="H24" s="22">
        <f t="shared" ref="H24:N24" si="30">-H22*H19*H15</f>
        <v>0</v>
      </c>
      <c r="I24" s="22">
        <f t="shared" si="30"/>
        <v>0</v>
      </c>
      <c r="J24" s="22">
        <f t="shared" si="30"/>
        <v>0</v>
      </c>
      <c r="K24" s="22">
        <f t="shared" si="30"/>
        <v>0</v>
      </c>
      <c r="L24" s="22">
        <f t="shared" si="30"/>
        <v>0</v>
      </c>
      <c r="M24" s="22">
        <f t="shared" si="30"/>
        <v>0</v>
      </c>
      <c r="N24" s="22">
        <f t="shared" si="30"/>
        <v>0</v>
      </c>
      <c r="O24" s="22">
        <f t="shared" ref="O24" si="31">-O22*O19*O15</f>
        <v>0</v>
      </c>
    </row>
    <row r="25" spans="2:15" x14ac:dyDescent="0.3">
      <c r="B25" s="3" t="s">
        <v>25</v>
      </c>
      <c r="C25" s="4" t="s">
        <v>23</v>
      </c>
      <c r="D25" s="22">
        <f>(D16-D18)*D28*D15</f>
        <v>0</v>
      </c>
      <c r="E25" s="22">
        <f>(E16-E18)*E28*E15</f>
        <v>0</v>
      </c>
      <c r="F25" s="22">
        <f>(F16-F18)*F28*F15</f>
        <v>0</v>
      </c>
      <c r="G25" s="22">
        <f>(G16-G18)*G28*G15</f>
        <v>0</v>
      </c>
      <c r="H25" s="22">
        <f t="shared" ref="H25:N25" si="32">(H16-H18)*H28*H15</f>
        <v>0</v>
      </c>
      <c r="I25" s="22">
        <f t="shared" si="32"/>
        <v>0</v>
      </c>
      <c r="J25" s="22">
        <f t="shared" si="32"/>
        <v>0</v>
      </c>
      <c r="K25" s="22">
        <f t="shared" si="32"/>
        <v>0</v>
      </c>
      <c r="L25" s="22">
        <f t="shared" si="32"/>
        <v>0</v>
      </c>
      <c r="M25" s="22">
        <f t="shared" si="32"/>
        <v>0</v>
      </c>
      <c r="N25" s="22">
        <f t="shared" si="32"/>
        <v>0</v>
      </c>
      <c r="O25" s="22">
        <f t="shared" ref="O25" si="33">(O16-O18)*O28*O15</f>
        <v>0</v>
      </c>
    </row>
    <row r="26" spans="2:15" outlineLevel="1" x14ac:dyDescent="0.3">
      <c r="B26" s="18" t="s">
        <v>11</v>
      </c>
      <c r="C26" s="19" t="s">
        <v>23</v>
      </c>
      <c r="D26" s="20">
        <f>SUM(D24:D25)</f>
        <v>345180</v>
      </c>
      <c r="E26" s="20">
        <f t="shared" ref="E26" si="34">SUM(E24:E25)</f>
        <v>449955</v>
      </c>
      <c r="F26" s="20">
        <f t="shared" ref="F26" si="35">SUM(F24:F25)</f>
        <v>231000</v>
      </c>
      <c r="G26" s="20">
        <f t="shared" ref="G26:N26" si="36">SUM(G24:G25)</f>
        <v>264000</v>
      </c>
      <c r="H26" s="20">
        <f t="shared" si="36"/>
        <v>0</v>
      </c>
      <c r="I26" s="20">
        <f t="shared" si="36"/>
        <v>0</v>
      </c>
      <c r="J26" s="20">
        <f t="shared" si="36"/>
        <v>0</v>
      </c>
      <c r="K26" s="20">
        <f t="shared" si="36"/>
        <v>0</v>
      </c>
      <c r="L26" s="20">
        <f t="shared" si="36"/>
        <v>0</v>
      </c>
      <c r="M26" s="20">
        <f t="shared" si="36"/>
        <v>0</v>
      </c>
      <c r="N26" s="20">
        <f t="shared" si="36"/>
        <v>0</v>
      </c>
      <c r="O26" s="20">
        <f t="shared" ref="O26" si="37">SUM(O24:O25)</f>
        <v>0</v>
      </c>
    </row>
    <row r="27" spans="2:15" outlineLevel="1" x14ac:dyDescent="0.3">
      <c r="B27" s="18"/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</row>
    <row r="28" spans="2:15" x14ac:dyDescent="0.3">
      <c r="B28" s="18" t="s">
        <v>31</v>
      </c>
      <c r="C28" s="19" t="s">
        <v>15</v>
      </c>
      <c r="D28" s="20">
        <f>IF(D16&gt;=D18,D19,0)</f>
        <v>0</v>
      </c>
      <c r="E28" s="20">
        <f t="shared" ref="E28:G28" si="38">IF(E16&gt;=E18,E19,0)</f>
        <v>0</v>
      </c>
      <c r="F28" s="20">
        <f t="shared" si="38"/>
        <v>0</v>
      </c>
      <c r="G28" s="20">
        <f t="shared" si="38"/>
        <v>0</v>
      </c>
      <c r="H28" s="20">
        <f t="shared" ref="H28:N28" si="39">IF(H16&gt;=H18,H19,0)</f>
        <v>0</v>
      </c>
      <c r="I28" s="20">
        <f t="shared" si="39"/>
        <v>0</v>
      </c>
      <c r="J28" s="20">
        <f t="shared" si="39"/>
        <v>0</v>
      </c>
      <c r="K28" s="20">
        <f t="shared" si="39"/>
        <v>0</v>
      </c>
      <c r="L28" s="20">
        <f t="shared" si="39"/>
        <v>0</v>
      </c>
      <c r="M28" s="20">
        <f t="shared" si="39"/>
        <v>0</v>
      </c>
      <c r="N28" s="20">
        <f t="shared" si="39"/>
        <v>0</v>
      </c>
      <c r="O28" s="20">
        <f t="shared" ref="O28" si="40">IF(O16&gt;=O18,O19,0)</f>
        <v>0</v>
      </c>
    </row>
    <row r="29" spans="2:15" x14ac:dyDescent="0.3">
      <c r="B29" s="18" t="s">
        <v>31</v>
      </c>
      <c r="C29" s="19" t="s">
        <v>0</v>
      </c>
      <c r="D29" s="20">
        <f>D28*330</f>
        <v>0</v>
      </c>
      <c r="E29" s="20">
        <f t="shared" ref="E29" si="41">E28*330</f>
        <v>0</v>
      </c>
      <c r="F29" s="20">
        <f t="shared" ref="F29" si="42">F28*330</f>
        <v>0</v>
      </c>
      <c r="G29" s="20">
        <f t="shared" ref="G29:N29" si="43">G28*330</f>
        <v>0</v>
      </c>
      <c r="H29" s="20">
        <f t="shared" si="43"/>
        <v>0</v>
      </c>
      <c r="I29" s="20">
        <f t="shared" si="43"/>
        <v>0</v>
      </c>
      <c r="J29" s="20">
        <f t="shared" si="43"/>
        <v>0</v>
      </c>
      <c r="K29" s="20">
        <f t="shared" si="43"/>
        <v>0</v>
      </c>
      <c r="L29" s="20">
        <f t="shared" si="43"/>
        <v>0</v>
      </c>
      <c r="M29" s="20">
        <f t="shared" si="43"/>
        <v>0</v>
      </c>
      <c r="N29" s="20">
        <f t="shared" si="43"/>
        <v>0</v>
      </c>
      <c r="O29" s="20">
        <f t="shared" ref="O29" si="44">O28*330</f>
        <v>0</v>
      </c>
    </row>
    <row r="30" spans="2:15" x14ac:dyDescent="0.3">
      <c r="B30" s="18" t="s">
        <v>33</v>
      </c>
      <c r="C30" s="19" t="s">
        <v>23</v>
      </c>
      <c r="D30" s="20">
        <f>(D29*D18)-(D29*D16)</f>
        <v>0</v>
      </c>
      <c r="E30" s="20">
        <f t="shared" ref="E30:G30" si="45">(E29*E18)-(E29*E16)</f>
        <v>0</v>
      </c>
      <c r="F30" s="20">
        <f t="shared" si="45"/>
        <v>0</v>
      </c>
      <c r="G30" s="20">
        <f t="shared" si="45"/>
        <v>0</v>
      </c>
      <c r="H30" s="20">
        <f t="shared" ref="H30:N30" si="46">(H29*H18)-(H29*H16)</f>
        <v>0</v>
      </c>
      <c r="I30" s="20">
        <f t="shared" si="46"/>
        <v>0</v>
      </c>
      <c r="J30" s="20">
        <f t="shared" si="46"/>
        <v>0</v>
      </c>
      <c r="K30" s="20">
        <f t="shared" si="46"/>
        <v>0</v>
      </c>
      <c r="L30" s="20">
        <f t="shared" si="46"/>
        <v>0</v>
      </c>
      <c r="M30" s="20">
        <f t="shared" si="46"/>
        <v>0</v>
      </c>
      <c r="N30" s="20">
        <f t="shared" si="46"/>
        <v>0</v>
      </c>
      <c r="O30" s="20">
        <f t="shared" ref="O30" si="47">(O29*O18)-(O29*O16)</f>
        <v>0</v>
      </c>
    </row>
    <row r="31" spans="2:15" x14ac:dyDescent="0.3"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2:15" x14ac:dyDescent="0.3">
      <c r="B32" s="16" t="s">
        <v>16</v>
      </c>
      <c r="C32" s="17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2:15" x14ac:dyDescent="0.3">
      <c r="B33" s="3" t="s">
        <v>10</v>
      </c>
      <c r="C33" s="4" t="s">
        <v>12</v>
      </c>
      <c r="D33" s="47">
        <f>Base!EB17</f>
        <v>320</v>
      </c>
      <c r="E33" s="47">
        <f>Base!EW17</f>
        <v>320</v>
      </c>
      <c r="F33" s="47">
        <f>Base!FI17</f>
        <v>325</v>
      </c>
      <c r="G33" s="47">
        <f>Base!FR17</f>
        <v>325</v>
      </c>
      <c r="H33" s="47"/>
      <c r="I33" s="47"/>
      <c r="J33" s="47"/>
      <c r="K33" s="47"/>
      <c r="L33" s="47"/>
      <c r="M33" s="47"/>
      <c r="N33" s="47"/>
      <c r="O33" s="47"/>
    </row>
    <row r="34" spans="2:15" x14ac:dyDescent="0.3">
      <c r="B34" s="3" t="s">
        <v>14</v>
      </c>
      <c r="C34" s="4" t="s">
        <v>15</v>
      </c>
      <c r="D34" s="47">
        <f>Base!EB19</f>
        <v>-150</v>
      </c>
      <c r="E34" s="47">
        <f>Base!EW19</f>
        <v>-150</v>
      </c>
      <c r="F34" s="47">
        <f>Base!FI19</f>
        <v>-100</v>
      </c>
      <c r="G34" s="47">
        <f>Base!FR19</f>
        <v>-100</v>
      </c>
      <c r="H34" s="47"/>
      <c r="I34" s="47"/>
      <c r="J34" s="47"/>
      <c r="K34" s="47"/>
      <c r="L34" s="47"/>
      <c r="M34" s="47"/>
      <c r="N34" s="47"/>
      <c r="O34" s="47"/>
    </row>
    <row r="35" spans="2:15" x14ac:dyDescent="0.3">
      <c r="B35" s="3" t="s">
        <v>26</v>
      </c>
      <c r="D35" s="22">
        <f>D34*D15</f>
        <v>-49500</v>
      </c>
      <c r="E35" s="22">
        <f>E34*E15</f>
        <v>-49500</v>
      </c>
      <c r="F35" s="22">
        <f>F34*F15</f>
        <v>-33000</v>
      </c>
      <c r="G35" s="22">
        <f>G34*G15</f>
        <v>-33000</v>
      </c>
      <c r="H35" s="22">
        <f t="shared" ref="H35:O35" si="48">H34*H15</f>
        <v>0</v>
      </c>
      <c r="I35" s="22">
        <f t="shared" si="48"/>
        <v>0</v>
      </c>
      <c r="J35" s="22">
        <f t="shared" si="48"/>
        <v>0</v>
      </c>
      <c r="K35" s="22">
        <f t="shared" si="48"/>
        <v>0</v>
      </c>
      <c r="L35" s="22">
        <f t="shared" si="48"/>
        <v>0</v>
      </c>
      <c r="M35" s="22">
        <f t="shared" si="48"/>
        <v>0</v>
      </c>
      <c r="N35" s="22">
        <f t="shared" si="48"/>
        <v>0</v>
      </c>
      <c r="O35" s="22">
        <f t="shared" si="48"/>
        <v>0</v>
      </c>
    </row>
    <row r="36" spans="2:15" x14ac:dyDescent="0.3">
      <c r="B36" s="3" t="s">
        <v>8</v>
      </c>
      <c r="C36" s="4" t="s">
        <v>13</v>
      </c>
      <c r="D36" s="21">
        <v>46021</v>
      </c>
      <c r="E36" s="21">
        <v>46053</v>
      </c>
      <c r="F36" s="21">
        <v>46081</v>
      </c>
      <c r="G36" s="21">
        <v>46112</v>
      </c>
      <c r="H36" s="21">
        <v>46112</v>
      </c>
      <c r="I36" s="21">
        <v>46112</v>
      </c>
      <c r="J36" s="21">
        <v>46112</v>
      </c>
      <c r="K36" s="21">
        <v>46112</v>
      </c>
      <c r="L36" s="21">
        <v>46112</v>
      </c>
      <c r="M36" s="21">
        <v>46112</v>
      </c>
      <c r="N36" s="21">
        <v>46112</v>
      </c>
      <c r="O36" s="21">
        <v>46112</v>
      </c>
    </row>
    <row r="37" spans="2:15" x14ac:dyDescent="0.3">
      <c r="B37" s="3" t="s">
        <v>9</v>
      </c>
      <c r="C37" s="4" t="s">
        <v>12</v>
      </c>
      <c r="D37" s="22">
        <f>D16</f>
        <v>320.60000000000002</v>
      </c>
      <c r="E37" s="22">
        <f>E16</f>
        <v>325.2</v>
      </c>
      <c r="F37" s="22">
        <f>F16</f>
        <v>326.8</v>
      </c>
      <c r="G37" s="22">
        <f>G16</f>
        <v>329.7</v>
      </c>
      <c r="H37" s="22">
        <f t="shared" ref="H37:N37" si="49">H16</f>
        <v>327</v>
      </c>
      <c r="I37" s="22">
        <f t="shared" si="49"/>
        <v>327</v>
      </c>
      <c r="J37" s="22">
        <f t="shared" si="49"/>
        <v>327</v>
      </c>
      <c r="K37" s="22">
        <f t="shared" si="49"/>
        <v>327</v>
      </c>
      <c r="L37" s="22">
        <f t="shared" si="49"/>
        <v>327</v>
      </c>
      <c r="M37" s="22">
        <f t="shared" si="49"/>
        <v>327</v>
      </c>
      <c r="N37" s="22">
        <f t="shared" si="49"/>
        <v>327</v>
      </c>
      <c r="O37" s="22">
        <f t="shared" ref="O37" si="50">O16</f>
        <v>327</v>
      </c>
    </row>
    <row r="38" spans="2:15" x14ac:dyDescent="0.3">
      <c r="B38" s="3" t="s">
        <v>7</v>
      </c>
      <c r="C38" s="4" t="s">
        <v>12</v>
      </c>
      <c r="D38" s="47">
        <f>Base!EB18</f>
        <v>8.48</v>
      </c>
      <c r="E38" s="47">
        <f>Base!EW18</f>
        <v>7.9766666666666666</v>
      </c>
      <c r="F38" s="47">
        <f>Base!FI18</f>
        <v>7.5</v>
      </c>
      <c r="G38" s="47">
        <f>Base!FR18</f>
        <v>8.5</v>
      </c>
      <c r="H38" s="47"/>
      <c r="I38" s="47"/>
      <c r="J38" s="47"/>
      <c r="K38" s="47"/>
      <c r="L38" s="47"/>
      <c r="M38" s="47"/>
      <c r="N38" s="47"/>
      <c r="O38" s="47"/>
    </row>
    <row r="39" spans="2:15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2:15" x14ac:dyDescent="0.3">
      <c r="B40" s="3" t="s">
        <v>24</v>
      </c>
      <c r="C40" s="4" t="s">
        <v>23</v>
      </c>
      <c r="D40" s="22">
        <f>-D38*D34*D15</f>
        <v>419760</v>
      </c>
      <c r="E40" s="22">
        <f>-E38*E34*E15</f>
        <v>394845</v>
      </c>
      <c r="F40" s="22">
        <f>-F38*F34*F15</f>
        <v>247500</v>
      </c>
      <c r="G40" s="22">
        <f>-G38*G34*G15</f>
        <v>280500</v>
      </c>
      <c r="H40" s="22">
        <f t="shared" ref="H40:N40" si="51">-H38*H34*H15</f>
        <v>0</v>
      </c>
      <c r="I40" s="22">
        <f t="shared" si="51"/>
        <v>0</v>
      </c>
      <c r="J40" s="22">
        <f t="shared" si="51"/>
        <v>0</v>
      </c>
      <c r="K40" s="22">
        <f t="shared" si="51"/>
        <v>0</v>
      </c>
      <c r="L40" s="22">
        <f t="shared" si="51"/>
        <v>0</v>
      </c>
      <c r="M40" s="22">
        <f t="shared" si="51"/>
        <v>0</v>
      </c>
      <c r="N40" s="22">
        <f t="shared" si="51"/>
        <v>0</v>
      </c>
      <c r="O40" s="22">
        <f t="shared" ref="O40" si="52">-O38*O34*O15</f>
        <v>0</v>
      </c>
    </row>
    <row r="41" spans="2:15" x14ac:dyDescent="0.3">
      <c r="B41" s="3" t="s">
        <v>25</v>
      </c>
      <c r="C41" s="4" t="s">
        <v>23</v>
      </c>
      <c r="D41" s="22">
        <f>(D37-D33)*D44*D15</f>
        <v>0</v>
      </c>
      <c r="E41" s="22">
        <f>(E37-E33)*E44*E15</f>
        <v>0</v>
      </c>
      <c r="F41" s="22">
        <f>(F37-F33)*F44*F15</f>
        <v>0</v>
      </c>
      <c r="G41" s="22">
        <f>(G37-G33)*G44*G15</f>
        <v>0</v>
      </c>
      <c r="H41" s="22">
        <f t="shared" ref="H41:N41" si="53">(H37-H33)*H44*H15</f>
        <v>0</v>
      </c>
      <c r="I41" s="22">
        <f t="shared" si="53"/>
        <v>0</v>
      </c>
      <c r="J41" s="22">
        <f t="shared" si="53"/>
        <v>0</v>
      </c>
      <c r="K41" s="22">
        <f t="shared" si="53"/>
        <v>0</v>
      </c>
      <c r="L41" s="22">
        <f t="shared" si="53"/>
        <v>0</v>
      </c>
      <c r="M41" s="22">
        <f t="shared" si="53"/>
        <v>0</v>
      </c>
      <c r="N41" s="22">
        <f t="shared" si="53"/>
        <v>0</v>
      </c>
      <c r="O41" s="22">
        <f t="shared" ref="O41" si="54">(O37-O33)*O44*O15</f>
        <v>0</v>
      </c>
    </row>
    <row r="42" spans="2:15" outlineLevel="1" x14ac:dyDescent="0.3">
      <c r="B42" s="18" t="s">
        <v>11</v>
      </c>
      <c r="C42" s="19" t="s">
        <v>23</v>
      </c>
      <c r="D42" s="20">
        <f>SUM(D40:D41)</f>
        <v>419760</v>
      </c>
      <c r="E42" s="20">
        <f t="shared" ref="E42:G42" si="55">SUM(E40:E41)</f>
        <v>394845</v>
      </c>
      <c r="F42" s="20">
        <f t="shared" si="55"/>
        <v>247500</v>
      </c>
      <c r="G42" s="20">
        <f t="shared" si="55"/>
        <v>280500</v>
      </c>
      <c r="H42" s="20">
        <f t="shared" ref="H42:N42" si="56">SUM(H40:H41)</f>
        <v>0</v>
      </c>
      <c r="I42" s="20">
        <f t="shared" si="56"/>
        <v>0</v>
      </c>
      <c r="J42" s="20">
        <f t="shared" si="56"/>
        <v>0</v>
      </c>
      <c r="K42" s="20">
        <f t="shared" si="56"/>
        <v>0</v>
      </c>
      <c r="L42" s="20">
        <f t="shared" si="56"/>
        <v>0</v>
      </c>
      <c r="M42" s="20">
        <f t="shared" si="56"/>
        <v>0</v>
      </c>
      <c r="N42" s="20">
        <f t="shared" si="56"/>
        <v>0</v>
      </c>
      <c r="O42" s="20">
        <f t="shared" ref="O42" si="57">SUM(O40:O41)</f>
        <v>0</v>
      </c>
    </row>
    <row r="43" spans="2:15" outlineLevel="1" x14ac:dyDescent="0.3">
      <c r="B43" s="18"/>
      <c r="C43" s="19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</row>
    <row r="44" spans="2:15" x14ac:dyDescent="0.3">
      <c r="B44" s="18" t="s">
        <v>31</v>
      </c>
      <c r="C44" s="19" t="s">
        <v>15</v>
      </c>
      <c r="D44" s="20">
        <f>IF(D37&lt;=D33,-D34,0)</f>
        <v>0</v>
      </c>
      <c r="E44" s="20">
        <f t="shared" ref="E44:G44" si="58">IF(E37&lt;=E33,-E34,0)</f>
        <v>0</v>
      </c>
      <c r="F44" s="20">
        <f t="shared" si="58"/>
        <v>0</v>
      </c>
      <c r="G44" s="20">
        <f t="shared" si="58"/>
        <v>0</v>
      </c>
      <c r="H44" s="20">
        <f t="shared" ref="H44:N44" si="59">IF(H37&lt;=H33,-H34,0)</f>
        <v>0</v>
      </c>
      <c r="I44" s="20">
        <f t="shared" si="59"/>
        <v>0</v>
      </c>
      <c r="J44" s="20">
        <f t="shared" si="59"/>
        <v>0</v>
      </c>
      <c r="K44" s="20">
        <f t="shared" si="59"/>
        <v>0</v>
      </c>
      <c r="L44" s="20">
        <f t="shared" si="59"/>
        <v>0</v>
      </c>
      <c r="M44" s="20">
        <f t="shared" si="59"/>
        <v>0</v>
      </c>
      <c r="N44" s="20">
        <f t="shared" si="59"/>
        <v>0</v>
      </c>
      <c r="O44" s="20">
        <f t="shared" ref="O44" si="60">IF(O37&lt;=O33,-O34,0)</f>
        <v>0</v>
      </c>
    </row>
    <row r="45" spans="2:15" x14ac:dyDescent="0.3">
      <c r="B45" s="18" t="s">
        <v>31</v>
      </c>
      <c r="C45" s="19" t="s">
        <v>0</v>
      </c>
      <c r="D45" s="20">
        <f>D44*330</f>
        <v>0</v>
      </c>
      <c r="E45" s="20">
        <f t="shared" ref="E45:G45" si="61">E44*330</f>
        <v>0</v>
      </c>
      <c r="F45" s="20">
        <f t="shared" si="61"/>
        <v>0</v>
      </c>
      <c r="G45" s="20">
        <f t="shared" si="61"/>
        <v>0</v>
      </c>
      <c r="H45" s="20">
        <f t="shared" ref="H45:N45" si="62">H44*330</f>
        <v>0</v>
      </c>
      <c r="I45" s="20">
        <f t="shared" si="62"/>
        <v>0</v>
      </c>
      <c r="J45" s="20">
        <f t="shared" si="62"/>
        <v>0</v>
      </c>
      <c r="K45" s="20">
        <f t="shared" si="62"/>
        <v>0</v>
      </c>
      <c r="L45" s="20">
        <f t="shared" si="62"/>
        <v>0</v>
      </c>
      <c r="M45" s="20">
        <f t="shared" si="62"/>
        <v>0</v>
      </c>
      <c r="N45" s="20">
        <f t="shared" si="62"/>
        <v>0</v>
      </c>
      <c r="O45" s="20">
        <f t="shared" ref="O45" si="63">O44*330</f>
        <v>0</v>
      </c>
    </row>
    <row r="46" spans="2:15" x14ac:dyDescent="0.3">
      <c r="B46" s="18" t="s">
        <v>33</v>
      </c>
      <c r="C46" s="19" t="s">
        <v>23</v>
      </c>
      <c r="D46" s="20">
        <f>(D45*D16)-(D45*D33)</f>
        <v>0</v>
      </c>
      <c r="E46" s="20">
        <f t="shared" ref="E46:G46" si="64">(E45*E16)-(E45*E33)</f>
        <v>0</v>
      </c>
      <c r="F46" s="20">
        <f t="shared" si="64"/>
        <v>0</v>
      </c>
      <c r="G46" s="20">
        <f t="shared" si="64"/>
        <v>0</v>
      </c>
      <c r="H46" s="20">
        <f t="shared" ref="H46:N46" si="65">(H45*H16)-(H45*H33)</f>
        <v>0</v>
      </c>
      <c r="I46" s="20">
        <f t="shared" si="65"/>
        <v>0</v>
      </c>
      <c r="J46" s="20">
        <f t="shared" si="65"/>
        <v>0</v>
      </c>
      <c r="K46" s="20">
        <f t="shared" si="65"/>
        <v>0</v>
      </c>
      <c r="L46" s="20">
        <f t="shared" si="65"/>
        <v>0</v>
      </c>
      <c r="M46" s="20">
        <f t="shared" si="65"/>
        <v>0</v>
      </c>
      <c r="N46" s="20">
        <f t="shared" si="65"/>
        <v>0</v>
      </c>
      <c r="O46" s="20">
        <f t="shared" ref="O46" si="66">(O45*O16)-(O45*O33)</f>
        <v>0</v>
      </c>
    </row>
    <row r="47" spans="2:15" x14ac:dyDescent="0.3">
      <c r="B47" s="18"/>
      <c r="C47" s="19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 spans="2:15" x14ac:dyDescent="0.3">
      <c r="B48" s="8" t="s">
        <v>17</v>
      </c>
      <c r="C48" s="9" t="s">
        <v>23</v>
      </c>
      <c r="D48" s="10">
        <f>D42+D26</f>
        <v>764940</v>
      </c>
      <c r="E48" s="10">
        <f t="shared" ref="E48:G48" si="67">E42+E26</f>
        <v>844800</v>
      </c>
      <c r="F48" s="10">
        <f t="shared" si="67"/>
        <v>478500</v>
      </c>
      <c r="G48" s="10">
        <f t="shared" si="67"/>
        <v>544500</v>
      </c>
      <c r="H48" s="10">
        <f t="shared" ref="H48:N48" si="68">H42+H26</f>
        <v>0</v>
      </c>
      <c r="I48" s="10">
        <f t="shared" si="68"/>
        <v>0</v>
      </c>
      <c r="J48" s="10">
        <f t="shared" si="68"/>
        <v>0</v>
      </c>
      <c r="K48" s="10">
        <f t="shared" si="68"/>
        <v>0</v>
      </c>
      <c r="L48" s="10">
        <f t="shared" si="68"/>
        <v>0</v>
      </c>
      <c r="M48" s="10">
        <f t="shared" si="68"/>
        <v>0</v>
      </c>
      <c r="N48" s="10">
        <f t="shared" si="68"/>
        <v>0</v>
      </c>
      <c r="O48" s="10">
        <f t="shared" ref="O48" si="69">O42+O26</f>
        <v>0</v>
      </c>
    </row>
    <row r="49" spans="2:15" x14ac:dyDescent="0.3">
      <c r="B49" s="8" t="s">
        <v>30</v>
      </c>
      <c r="C49" s="9" t="s">
        <v>15</v>
      </c>
      <c r="D49" s="10">
        <f>D44+D28</f>
        <v>0</v>
      </c>
      <c r="E49" s="10">
        <f>E44+E28</f>
        <v>0</v>
      </c>
      <c r="F49" s="10">
        <f>F44+F28</f>
        <v>0</v>
      </c>
      <c r="G49" s="10">
        <f>G44+G28</f>
        <v>0</v>
      </c>
      <c r="H49" s="10">
        <f t="shared" ref="H49:N49" si="70">H44+H28</f>
        <v>0</v>
      </c>
      <c r="I49" s="10">
        <f t="shared" si="70"/>
        <v>0</v>
      </c>
      <c r="J49" s="10">
        <f t="shared" si="70"/>
        <v>0</v>
      </c>
      <c r="K49" s="10">
        <f t="shared" si="70"/>
        <v>0</v>
      </c>
      <c r="L49" s="10">
        <f t="shared" si="70"/>
        <v>0</v>
      </c>
      <c r="M49" s="10">
        <f t="shared" si="70"/>
        <v>0</v>
      </c>
      <c r="N49" s="10">
        <f t="shared" si="70"/>
        <v>0</v>
      </c>
      <c r="O49" s="10">
        <f t="shared" ref="O49" si="71">O44+O28</f>
        <v>0</v>
      </c>
    </row>
    <row r="50" spans="2:15" x14ac:dyDescent="0.3">
      <c r="B50" s="8" t="s">
        <v>30</v>
      </c>
      <c r="C50" s="9" t="s">
        <v>0</v>
      </c>
      <c r="D50" s="10">
        <f>D45+D29</f>
        <v>0</v>
      </c>
      <c r="E50" s="10">
        <f t="shared" ref="E50:G50" si="72">E45+E29</f>
        <v>0</v>
      </c>
      <c r="F50" s="10">
        <f t="shared" si="72"/>
        <v>0</v>
      </c>
      <c r="G50" s="10">
        <f t="shared" si="72"/>
        <v>0</v>
      </c>
      <c r="H50" s="10">
        <f t="shared" ref="H50:N50" si="73">H45+H29</f>
        <v>0</v>
      </c>
      <c r="I50" s="10">
        <f t="shared" si="73"/>
        <v>0</v>
      </c>
      <c r="J50" s="10">
        <f t="shared" si="73"/>
        <v>0</v>
      </c>
      <c r="K50" s="10">
        <f t="shared" si="73"/>
        <v>0</v>
      </c>
      <c r="L50" s="10">
        <f t="shared" si="73"/>
        <v>0</v>
      </c>
      <c r="M50" s="10">
        <f t="shared" si="73"/>
        <v>0</v>
      </c>
      <c r="N50" s="10">
        <f t="shared" si="73"/>
        <v>0</v>
      </c>
      <c r="O50" s="10">
        <f t="shared" ref="O50" si="74">O45+O29</f>
        <v>0</v>
      </c>
    </row>
    <row r="51" spans="2:15" x14ac:dyDescent="0.3"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2:15" x14ac:dyDescent="0.3">
      <c r="B52" s="16" t="s">
        <v>18</v>
      </c>
      <c r="C52" s="17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spans="2:15" x14ac:dyDescent="0.3">
      <c r="B53" s="3" t="s">
        <v>14</v>
      </c>
      <c r="C53" s="4" t="s">
        <v>15</v>
      </c>
      <c r="D53" s="47">
        <f>Base!V27</f>
        <v>-162.90909090909091</v>
      </c>
      <c r="E53" s="47">
        <f>Base!Y27</f>
        <v>-200</v>
      </c>
      <c r="F53" s="47">
        <f>Base!AB27</f>
        <v>-100</v>
      </c>
      <c r="G53" s="47">
        <f>Base!AE27</f>
        <v>-150</v>
      </c>
      <c r="H53" s="47"/>
      <c r="I53" s="47"/>
      <c r="J53" s="47"/>
      <c r="K53" s="47"/>
      <c r="L53" s="47"/>
      <c r="M53" s="47"/>
      <c r="N53" s="47"/>
      <c r="O53" s="47"/>
    </row>
    <row r="54" spans="2:15" x14ac:dyDescent="0.3">
      <c r="B54" s="3" t="s">
        <v>19</v>
      </c>
      <c r="C54" s="4" t="s">
        <v>0</v>
      </c>
      <c r="D54" s="22">
        <f>D53*D15</f>
        <v>-53760</v>
      </c>
      <c r="E54" s="22">
        <f>E53*E15</f>
        <v>-66000</v>
      </c>
      <c r="F54" s="22">
        <f>F53*F15</f>
        <v>-33000</v>
      </c>
      <c r="G54" s="22">
        <f>G53*G15</f>
        <v>-49500</v>
      </c>
      <c r="H54" s="22">
        <f t="shared" ref="H54:O54" si="75">H53*H15</f>
        <v>0</v>
      </c>
      <c r="I54" s="22">
        <f t="shared" si="75"/>
        <v>0</v>
      </c>
      <c r="J54" s="22">
        <f t="shared" si="75"/>
        <v>0</v>
      </c>
      <c r="K54" s="22">
        <f t="shared" si="75"/>
        <v>0</v>
      </c>
      <c r="L54" s="22">
        <f t="shared" si="75"/>
        <v>0</v>
      </c>
      <c r="M54" s="22">
        <f t="shared" si="75"/>
        <v>0</v>
      </c>
      <c r="N54" s="22">
        <f t="shared" si="75"/>
        <v>0</v>
      </c>
      <c r="O54" s="22">
        <f t="shared" si="75"/>
        <v>0</v>
      </c>
    </row>
    <row r="55" spans="2:15" x14ac:dyDescent="0.3">
      <c r="B55" s="3" t="s">
        <v>37</v>
      </c>
      <c r="C55" s="7" t="s">
        <v>12</v>
      </c>
      <c r="D55" s="47">
        <f>Base!W27</f>
        <v>330.50340401785718</v>
      </c>
      <c r="E55" s="47">
        <f>Base!Z27</f>
        <v>327.88625000000002</v>
      </c>
      <c r="F55" s="47">
        <f>Base!AC27</f>
        <v>329.4</v>
      </c>
      <c r="G55" s="47">
        <f>Base!AF27</f>
        <v>329.72720000000004</v>
      </c>
      <c r="H55" s="47"/>
      <c r="I55" s="47"/>
      <c r="J55" s="47"/>
      <c r="K55" s="47"/>
      <c r="L55" s="47"/>
      <c r="M55" s="47"/>
      <c r="N55" s="47"/>
      <c r="O55" s="47"/>
    </row>
    <row r="56" spans="2:15" x14ac:dyDescent="0.3">
      <c r="B56" s="18" t="s">
        <v>22</v>
      </c>
      <c r="C56" s="19" t="s">
        <v>23</v>
      </c>
      <c r="D56" s="20">
        <f>(D16-D55)*D54</f>
        <v>532407.0000000007</v>
      </c>
      <c r="E56" s="20">
        <f t="shared" ref="E56:G56" si="76">(E16-E55)*E54</f>
        <v>177292.50000000195</v>
      </c>
      <c r="F56" s="20">
        <f t="shared" si="76"/>
        <v>85799.99999999888</v>
      </c>
      <c r="G56" s="20">
        <f t="shared" si="76"/>
        <v>1346.4000000024896</v>
      </c>
      <c r="H56" s="20">
        <f t="shared" ref="H56" si="77">(H55-H16)*H54</f>
        <v>0</v>
      </c>
      <c r="I56" s="20">
        <f t="shared" ref="I56" si="78">(I55-I16)*I54</f>
        <v>0</v>
      </c>
      <c r="J56" s="20">
        <f t="shared" ref="J56" si="79">(J55-J16)*J54</f>
        <v>0</v>
      </c>
      <c r="K56" s="20">
        <f t="shared" ref="K56" si="80">(K55-K16)*K54</f>
        <v>0</v>
      </c>
      <c r="L56" s="20">
        <f t="shared" ref="L56" si="81">(L55-L16)*L54</f>
        <v>0</v>
      </c>
      <c r="M56" s="20">
        <f t="shared" ref="M56" si="82">(M55-M16)*M54</f>
        <v>0</v>
      </c>
      <c r="N56" s="20">
        <f t="shared" ref="N56:O56" si="83">(N55-N16)*N54</f>
        <v>0</v>
      </c>
      <c r="O56" s="20">
        <f t="shared" si="83"/>
        <v>0</v>
      </c>
    </row>
    <row r="57" spans="2:15" x14ac:dyDescent="0.3">
      <c r="B57" s="18" t="s">
        <v>27</v>
      </c>
      <c r="C57" s="19" t="s">
        <v>12</v>
      </c>
      <c r="D57" s="20">
        <f>D55</f>
        <v>330.50340401785718</v>
      </c>
      <c r="E57" s="20">
        <f t="shared" ref="E57:G57" si="84">E55</f>
        <v>327.88625000000002</v>
      </c>
      <c r="F57" s="20">
        <f t="shared" si="84"/>
        <v>329.4</v>
      </c>
      <c r="G57" s="20">
        <f t="shared" si="84"/>
        <v>329.72720000000004</v>
      </c>
      <c r="H57" s="20">
        <f t="shared" ref="H57:N57" si="85">H55</f>
        <v>0</v>
      </c>
      <c r="I57" s="20">
        <f t="shared" si="85"/>
        <v>0</v>
      </c>
      <c r="J57" s="20">
        <f t="shared" si="85"/>
        <v>0</v>
      </c>
      <c r="K57" s="20">
        <f t="shared" si="85"/>
        <v>0</v>
      </c>
      <c r="L57" s="20">
        <f t="shared" si="85"/>
        <v>0</v>
      </c>
      <c r="M57" s="20">
        <f t="shared" si="85"/>
        <v>0</v>
      </c>
      <c r="N57" s="20">
        <f t="shared" si="85"/>
        <v>0</v>
      </c>
      <c r="O57" s="20">
        <f t="shared" ref="O57" si="86">O55</f>
        <v>0</v>
      </c>
    </row>
    <row r="58" spans="2:15" x14ac:dyDescent="0.3">
      <c r="B58" s="18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2:15" x14ac:dyDescent="0.3">
      <c r="B59" s="8" t="s">
        <v>28</v>
      </c>
      <c r="C59" s="9" t="s">
        <v>23</v>
      </c>
      <c r="D59" s="10">
        <f>D56+D48</f>
        <v>1297347.0000000007</v>
      </c>
      <c r="E59" s="10">
        <f>E56+E48</f>
        <v>1022092.500000002</v>
      </c>
      <c r="F59" s="10">
        <f>F56+F48</f>
        <v>564299.99999999884</v>
      </c>
      <c r="G59" s="10">
        <f>G56+G48</f>
        <v>545846.40000000247</v>
      </c>
      <c r="H59" s="10">
        <f t="shared" ref="H59:N59" si="87">H56+H48</f>
        <v>0</v>
      </c>
      <c r="I59" s="10">
        <f t="shared" si="87"/>
        <v>0</v>
      </c>
      <c r="J59" s="10">
        <f t="shared" si="87"/>
        <v>0</v>
      </c>
      <c r="K59" s="10">
        <f t="shared" si="87"/>
        <v>0</v>
      </c>
      <c r="L59" s="10">
        <f t="shared" si="87"/>
        <v>0</v>
      </c>
      <c r="M59" s="10">
        <f t="shared" si="87"/>
        <v>0</v>
      </c>
      <c r="N59" s="10">
        <f t="shared" si="87"/>
        <v>0</v>
      </c>
      <c r="O59" s="10">
        <f t="shared" ref="O59" si="88">O56+O48</f>
        <v>0</v>
      </c>
    </row>
    <row r="60" spans="2:15" x14ac:dyDescent="0.3">
      <c r="B60" s="8" t="s">
        <v>29</v>
      </c>
      <c r="C60" s="9" t="s">
        <v>15</v>
      </c>
      <c r="D60" s="10">
        <f>D53+D49</f>
        <v>-162.90909090909091</v>
      </c>
      <c r="E60" s="10">
        <f>E53+E49</f>
        <v>-200</v>
      </c>
      <c r="F60" s="10">
        <f>F53+F49</f>
        <v>-100</v>
      </c>
      <c r="G60" s="10">
        <f>G53+G49</f>
        <v>-150</v>
      </c>
      <c r="H60" s="10">
        <f t="shared" ref="H60:N60" si="89">H53+H49</f>
        <v>0</v>
      </c>
      <c r="I60" s="10">
        <f t="shared" si="89"/>
        <v>0</v>
      </c>
      <c r="J60" s="10">
        <f t="shared" si="89"/>
        <v>0</v>
      </c>
      <c r="K60" s="10">
        <f t="shared" si="89"/>
        <v>0</v>
      </c>
      <c r="L60" s="10">
        <f t="shared" si="89"/>
        <v>0</v>
      </c>
      <c r="M60" s="10">
        <f t="shared" si="89"/>
        <v>0</v>
      </c>
      <c r="N60" s="10">
        <f t="shared" si="89"/>
        <v>0</v>
      </c>
      <c r="O60" s="10">
        <f t="shared" ref="O60" si="90">O53+O49</f>
        <v>0</v>
      </c>
    </row>
    <row r="61" spans="2:15" x14ac:dyDescent="0.3"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2:15" x14ac:dyDescent="0.3">
      <c r="B62" s="23" t="s">
        <v>27</v>
      </c>
      <c r="C62" s="24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</row>
    <row r="63" spans="2:15" x14ac:dyDescent="0.3">
      <c r="B63" s="3" t="s">
        <v>17</v>
      </c>
      <c r="C63" s="4" t="s">
        <v>23</v>
      </c>
      <c r="D63" s="22">
        <f>D48</f>
        <v>764940</v>
      </c>
      <c r="E63" s="22">
        <f t="shared" ref="E63:G63" si="91">E48</f>
        <v>844800</v>
      </c>
      <c r="F63" s="22">
        <f t="shared" si="91"/>
        <v>478500</v>
      </c>
      <c r="G63" s="22">
        <f t="shared" si="91"/>
        <v>544500</v>
      </c>
      <c r="H63" s="22">
        <f t="shared" ref="H63:N63" si="92">H48</f>
        <v>0</v>
      </c>
      <c r="I63" s="22">
        <f t="shared" si="92"/>
        <v>0</v>
      </c>
      <c r="J63" s="22">
        <f t="shared" si="92"/>
        <v>0</v>
      </c>
      <c r="K63" s="22">
        <f t="shared" si="92"/>
        <v>0</v>
      </c>
      <c r="L63" s="22">
        <f t="shared" si="92"/>
        <v>0</v>
      </c>
      <c r="M63" s="22">
        <f t="shared" si="92"/>
        <v>0</v>
      </c>
      <c r="N63" s="22">
        <f t="shared" si="92"/>
        <v>0</v>
      </c>
      <c r="O63" s="22">
        <f t="shared" ref="O63" si="93">O48</f>
        <v>0</v>
      </c>
    </row>
    <row r="64" spans="2:15" x14ac:dyDescent="0.3">
      <c r="B64" s="41"/>
      <c r="C64" s="42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</row>
    <row r="65" spans="2:15" x14ac:dyDescent="0.3">
      <c r="B65" s="44" t="s">
        <v>22</v>
      </c>
      <c r="C65" s="45" t="s">
        <v>23</v>
      </c>
      <c r="D65" s="46">
        <f>D56</f>
        <v>532407.0000000007</v>
      </c>
      <c r="E65" s="46">
        <f t="shared" ref="E65:G65" si="94">E56</f>
        <v>177292.50000000195</v>
      </c>
      <c r="F65" s="46">
        <f t="shared" si="94"/>
        <v>85799.99999999888</v>
      </c>
      <c r="G65" s="46">
        <f t="shared" si="94"/>
        <v>1346.4000000024896</v>
      </c>
      <c r="H65" s="46">
        <f t="shared" ref="H65:N65" si="95">H56</f>
        <v>0</v>
      </c>
      <c r="I65" s="46">
        <f t="shared" si="95"/>
        <v>0</v>
      </c>
      <c r="J65" s="46">
        <f t="shared" si="95"/>
        <v>0</v>
      </c>
      <c r="K65" s="46">
        <f t="shared" si="95"/>
        <v>0</v>
      </c>
      <c r="L65" s="46">
        <f t="shared" si="95"/>
        <v>0</v>
      </c>
      <c r="M65" s="46">
        <f t="shared" si="95"/>
        <v>0</v>
      </c>
      <c r="N65" s="46">
        <f t="shared" si="95"/>
        <v>0</v>
      </c>
      <c r="O65" s="46">
        <f t="shared" ref="O65" si="96">O56</f>
        <v>0</v>
      </c>
    </row>
    <row r="66" spans="2:15" hidden="1" outlineLevel="1" x14ac:dyDescent="0.3">
      <c r="B66" s="44" t="s">
        <v>35</v>
      </c>
      <c r="C66" s="45" t="s">
        <v>12</v>
      </c>
      <c r="D66" s="46">
        <f>D57</f>
        <v>330.50340401785718</v>
      </c>
      <c r="E66" s="46">
        <f t="shared" ref="E66:G66" si="97">E57</f>
        <v>327.88625000000002</v>
      </c>
      <c r="F66" s="46">
        <f t="shared" si="97"/>
        <v>329.4</v>
      </c>
      <c r="G66" s="46">
        <f t="shared" si="97"/>
        <v>329.72720000000004</v>
      </c>
      <c r="H66" s="46">
        <f t="shared" ref="H66:N66" si="98">H57</f>
        <v>0</v>
      </c>
      <c r="I66" s="46">
        <f t="shared" si="98"/>
        <v>0</v>
      </c>
      <c r="J66" s="46">
        <f t="shared" si="98"/>
        <v>0</v>
      </c>
      <c r="K66" s="46">
        <f t="shared" si="98"/>
        <v>0</v>
      </c>
      <c r="L66" s="46">
        <f t="shared" si="98"/>
        <v>0</v>
      </c>
      <c r="M66" s="46">
        <f t="shared" si="98"/>
        <v>0</v>
      </c>
      <c r="N66" s="46">
        <f t="shared" si="98"/>
        <v>0</v>
      </c>
      <c r="O66" s="46">
        <f t="shared" ref="O66" si="99">O57</f>
        <v>0</v>
      </c>
    </row>
    <row r="67" spans="2:15" collapsed="1" x14ac:dyDescent="0.3">
      <c r="C67" s="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</row>
    <row r="68" spans="2:15" x14ac:dyDescent="0.3">
      <c r="B68" s="3" t="s">
        <v>34</v>
      </c>
      <c r="C68" s="4" t="s">
        <v>0</v>
      </c>
      <c r="D68" s="22">
        <f>D6</f>
        <v>81890</v>
      </c>
      <c r="E68" s="22">
        <f>E6</f>
        <v>110100</v>
      </c>
      <c r="F68" s="22">
        <f>F6</f>
        <v>142000</v>
      </c>
      <c r="G68" s="22">
        <f>G6</f>
        <v>71500</v>
      </c>
      <c r="H68" s="22">
        <f t="shared" ref="H68:N68" si="100">H6</f>
        <v>0</v>
      </c>
      <c r="I68" s="22">
        <f t="shared" si="100"/>
        <v>0</v>
      </c>
      <c r="J68" s="22">
        <f t="shared" si="100"/>
        <v>0</v>
      </c>
      <c r="K68" s="22">
        <f t="shared" si="100"/>
        <v>0</v>
      </c>
      <c r="L68" s="22">
        <f t="shared" si="100"/>
        <v>0</v>
      </c>
      <c r="M68" s="22">
        <f t="shared" si="100"/>
        <v>0</v>
      </c>
      <c r="N68" s="22">
        <f t="shared" si="100"/>
        <v>0</v>
      </c>
      <c r="O68" s="22">
        <f t="shared" ref="O68" si="101">O6</f>
        <v>0</v>
      </c>
    </row>
    <row r="69" spans="2:15" x14ac:dyDescent="0.3">
      <c r="B69" s="3" t="s">
        <v>36</v>
      </c>
      <c r="C69" s="4" t="s">
        <v>23</v>
      </c>
      <c r="D69" s="22">
        <f>D68*D70</f>
        <v>26253934</v>
      </c>
      <c r="E69" s="22">
        <f t="shared" ref="E69:G69" si="102">E68*E70</f>
        <v>35804520</v>
      </c>
      <c r="F69" s="22">
        <f t="shared" si="102"/>
        <v>46405600</v>
      </c>
      <c r="G69" s="22">
        <f t="shared" si="102"/>
        <v>23573550</v>
      </c>
      <c r="H69" s="22">
        <f t="shared" ref="H69:N69" si="103">H68*H70</f>
        <v>0</v>
      </c>
      <c r="I69" s="22">
        <f t="shared" si="103"/>
        <v>0</v>
      </c>
      <c r="J69" s="22">
        <f t="shared" si="103"/>
        <v>0</v>
      </c>
      <c r="K69" s="22">
        <f t="shared" si="103"/>
        <v>0</v>
      </c>
      <c r="L69" s="22">
        <f t="shared" si="103"/>
        <v>0</v>
      </c>
      <c r="M69" s="22">
        <f t="shared" si="103"/>
        <v>0</v>
      </c>
      <c r="N69" s="22">
        <f t="shared" si="103"/>
        <v>0</v>
      </c>
      <c r="O69" s="22">
        <f t="shared" ref="O69" si="104">O68*O70</f>
        <v>0</v>
      </c>
    </row>
    <row r="70" spans="2:15" x14ac:dyDescent="0.3">
      <c r="B70" s="18" t="s">
        <v>43</v>
      </c>
      <c r="C70" s="26" t="s">
        <v>12</v>
      </c>
      <c r="D70" s="27">
        <f>D16</f>
        <v>320.60000000000002</v>
      </c>
      <c r="E70" s="27">
        <f>E16</f>
        <v>325.2</v>
      </c>
      <c r="F70" s="27">
        <f>F16</f>
        <v>326.8</v>
      </c>
      <c r="G70" s="27">
        <f>G16</f>
        <v>329.7</v>
      </c>
      <c r="H70" s="27">
        <f t="shared" ref="H70:N70" si="105">H16</f>
        <v>327</v>
      </c>
      <c r="I70" s="27">
        <f t="shared" si="105"/>
        <v>327</v>
      </c>
      <c r="J70" s="27">
        <f t="shared" si="105"/>
        <v>327</v>
      </c>
      <c r="K70" s="27">
        <f t="shared" si="105"/>
        <v>327</v>
      </c>
      <c r="L70" s="27">
        <f t="shared" si="105"/>
        <v>327</v>
      </c>
      <c r="M70" s="27">
        <f t="shared" si="105"/>
        <v>327</v>
      </c>
      <c r="N70" s="27">
        <f t="shared" si="105"/>
        <v>327</v>
      </c>
      <c r="O70" s="27">
        <f t="shared" ref="O70" si="106">O16</f>
        <v>327</v>
      </c>
    </row>
    <row r="71" spans="2:15" x14ac:dyDescent="0.3">
      <c r="B71" s="8" t="s">
        <v>32</v>
      </c>
      <c r="C71" s="38" t="s">
        <v>23</v>
      </c>
      <c r="D71" s="39">
        <f>D63+D65+D69</f>
        <v>27551281</v>
      </c>
      <c r="E71" s="39">
        <f>E63+E65+E69</f>
        <v>36826612.5</v>
      </c>
      <c r="F71" s="39">
        <f>F63+F65+F69</f>
        <v>46969900</v>
      </c>
      <c r="G71" s="39">
        <f>G63+G65+G69</f>
        <v>24119396.400000002</v>
      </c>
      <c r="H71" s="39">
        <f t="shared" ref="H71:N71" si="107">H63+H65+H69</f>
        <v>0</v>
      </c>
      <c r="I71" s="39">
        <f t="shared" si="107"/>
        <v>0</v>
      </c>
      <c r="J71" s="39">
        <f t="shared" si="107"/>
        <v>0</v>
      </c>
      <c r="K71" s="39">
        <f t="shared" si="107"/>
        <v>0</v>
      </c>
      <c r="L71" s="39">
        <f t="shared" si="107"/>
        <v>0</v>
      </c>
      <c r="M71" s="39">
        <f t="shared" si="107"/>
        <v>0</v>
      </c>
      <c r="N71" s="39">
        <f t="shared" si="107"/>
        <v>0</v>
      </c>
      <c r="O71" s="39">
        <f t="shared" ref="O71" si="108">O63+O65+O69</f>
        <v>0</v>
      </c>
    </row>
    <row r="72" spans="2:15" x14ac:dyDescent="0.3">
      <c r="B72" s="30" t="s">
        <v>27</v>
      </c>
      <c r="C72" s="32" t="s">
        <v>12</v>
      </c>
      <c r="D72" s="33">
        <f>D71/(D68)</f>
        <v>336.44255708877762</v>
      </c>
      <c r="E72" s="33">
        <f t="shared" ref="E72:G72" si="109">E71/(E68)</f>
        <v>334.48331062670297</v>
      </c>
      <c r="F72" s="33">
        <f t="shared" si="109"/>
        <v>330.77394366197183</v>
      </c>
      <c r="G72" s="33">
        <f t="shared" si="109"/>
        <v>337.33421538461539</v>
      </c>
      <c r="H72" s="33" t="e">
        <f t="shared" ref="H72:N72" si="110">H71/(H68)</f>
        <v>#DIV/0!</v>
      </c>
      <c r="I72" s="33" t="e">
        <f t="shared" si="110"/>
        <v>#DIV/0!</v>
      </c>
      <c r="J72" s="33" t="e">
        <f t="shared" si="110"/>
        <v>#DIV/0!</v>
      </c>
      <c r="K72" s="33" t="e">
        <f t="shared" si="110"/>
        <v>#DIV/0!</v>
      </c>
      <c r="L72" s="33" t="e">
        <f t="shared" si="110"/>
        <v>#DIV/0!</v>
      </c>
      <c r="M72" s="33" t="e">
        <f t="shared" si="110"/>
        <v>#DIV/0!</v>
      </c>
      <c r="N72" s="33" t="e">
        <f t="shared" si="110"/>
        <v>#DIV/0!</v>
      </c>
      <c r="O72" s="33" t="e">
        <f t="shared" ref="O72" si="111">O71/(O68)</f>
        <v>#DIV/0!</v>
      </c>
    </row>
    <row r="73" spans="2:15" x14ac:dyDescent="0.3">
      <c r="D73" s="7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x14ac:dyDescent="0.3">
      <c r="B74" s="28" t="s">
        <v>38</v>
      </c>
      <c r="C74" s="29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</row>
    <row r="75" spans="2:15" x14ac:dyDescent="0.3">
      <c r="B75" s="3" t="s">
        <v>264</v>
      </c>
      <c r="C75" s="4" t="s">
        <v>23</v>
      </c>
      <c r="D75" s="53">
        <f>-D79*D4</f>
        <v>-12297618.965517242</v>
      </c>
      <c r="E75" s="53">
        <f>-E79*E4</f>
        <v>-16533982.758620689</v>
      </c>
      <c r="F75" s="53">
        <f>-F79*F4</f>
        <v>-21324482.758620691</v>
      </c>
      <c r="G75" s="53">
        <f>-G79*G4</f>
        <v>-10737327.586206896</v>
      </c>
      <c r="H75" s="11">
        <v>-20000000</v>
      </c>
      <c r="I75" s="11">
        <v>-20000000</v>
      </c>
      <c r="J75" s="11">
        <v>-20000000</v>
      </c>
      <c r="K75" s="11">
        <v>-20000000</v>
      </c>
      <c r="L75" s="11">
        <v>-20000000</v>
      </c>
      <c r="M75" s="11">
        <v>-20000000</v>
      </c>
      <c r="N75" s="11">
        <v>-20000000</v>
      </c>
      <c r="O75" s="11">
        <v>-20000000</v>
      </c>
    </row>
    <row r="76" spans="2:15" x14ac:dyDescent="0.3">
      <c r="B76" s="3" t="s">
        <v>277</v>
      </c>
      <c r="C76" s="4" t="s">
        <v>23</v>
      </c>
      <c r="D76" s="55">
        <v>-12000000</v>
      </c>
      <c r="E76" s="55">
        <v>-12000000</v>
      </c>
      <c r="F76" s="55">
        <v>-12000000</v>
      </c>
      <c r="G76" s="55">
        <v>-12000000</v>
      </c>
      <c r="H76" s="11">
        <v>-20000000</v>
      </c>
      <c r="I76" s="11">
        <v>-20000000</v>
      </c>
      <c r="J76" s="11">
        <v>-20000000</v>
      </c>
      <c r="K76" s="11">
        <v>-20000000</v>
      </c>
      <c r="L76" s="11">
        <v>-20000000</v>
      </c>
      <c r="M76" s="11">
        <v>-20000000</v>
      </c>
      <c r="N76" s="11">
        <v>-20000000</v>
      </c>
      <c r="O76" s="11">
        <v>-20000000</v>
      </c>
    </row>
    <row r="77" spans="2:15" x14ac:dyDescent="0.3">
      <c r="B77" s="3" t="s">
        <v>278</v>
      </c>
      <c r="C77" s="4" t="s">
        <v>23</v>
      </c>
      <c r="D77" s="55">
        <v>-1600000</v>
      </c>
      <c r="E77" s="55">
        <v>-1600000</v>
      </c>
      <c r="F77" s="55">
        <v>-1600000</v>
      </c>
      <c r="G77" s="55">
        <v>-1600000</v>
      </c>
      <c r="H77" s="11">
        <v>-5000000</v>
      </c>
      <c r="I77" s="11">
        <v>-5000000</v>
      </c>
      <c r="J77" s="11">
        <v>-5000000</v>
      </c>
      <c r="K77" s="11">
        <v>-5000000</v>
      </c>
      <c r="L77" s="11">
        <v>-5000000</v>
      </c>
      <c r="M77" s="11">
        <v>-5000000</v>
      </c>
      <c r="N77" s="11">
        <v>-5000000</v>
      </c>
      <c r="O77" s="11">
        <v>-5000000</v>
      </c>
    </row>
    <row r="78" spans="2:15" x14ac:dyDescent="0.3">
      <c r="B78" s="35" t="s">
        <v>38</v>
      </c>
      <c r="C78" s="36" t="s">
        <v>23</v>
      </c>
      <c r="D78" s="37">
        <f t="shared" ref="D78:O78" si="112">SUM(D75:D77)</f>
        <v>-25897618.965517242</v>
      </c>
      <c r="E78" s="37">
        <f t="shared" si="112"/>
        <v>-30133982.758620687</v>
      </c>
      <c r="F78" s="37">
        <f t="shared" si="112"/>
        <v>-34924482.758620694</v>
      </c>
      <c r="G78" s="37">
        <f t="shared" si="112"/>
        <v>-24337327.586206898</v>
      </c>
      <c r="H78" s="37">
        <f t="shared" si="112"/>
        <v>-45000000</v>
      </c>
      <c r="I78" s="37">
        <f t="shared" si="112"/>
        <v>-45000000</v>
      </c>
      <c r="J78" s="37">
        <f t="shared" si="112"/>
        <v>-45000000</v>
      </c>
      <c r="K78" s="37">
        <f t="shared" si="112"/>
        <v>-45000000</v>
      </c>
      <c r="L78" s="37">
        <f t="shared" si="112"/>
        <v>-45000000</v>
      </c>
      <c r="M78" s="37">
        <f t="shared" si="112"/>
        <v>-45000000</v>
      </c>
      <c r="N78" s="37">
        <f t="shared" si="112"/>
        <v>-45000000</v>
      </c>
      <c r="O78" s="37">
        <f t="shared" si="112"/>
        <v>-45000000</v>
      </c>
    </row>
    <row r="79" spans="2:15" x14ac:dyDescent="0.3">
      <c r="B79" s="3" t="s">
        <v>296</v>
      </c>
      <c r="C79" s="4" t="s">
        <v>23</v>
      </c>
      <c r="D79" s="11">
        <v>335</v>
      </c>
      <c r="E79" s="11">
        <v>335</v>
      </c>
      <c r="F79" s="11">
        <v>335</v>
      </c>
      <c r="G79" s="11">
        <v>335</v>
      </c>
      <c r="H79" s="56">
        <v>-5000000</v>
      </c>
      <c r="I79" s="56">
        <v>-5000000</v>
      </c>
      <c r="J79" s="56">
        <v>-5000000</v>
      </c>
      <c r="K79" s="56">
        <v>-5000000</v>
      </c>
      <c r="L79" s="56">
        <v>-5000000</v>
      </c>
      <c r="M79" s="56">
        <v>-5000000</v>
      </c>
      <c r="N79" s="56">
        <v>-5000000</v>
      </c>
      <c r="O79" s="56">
        <v>-5000000</v>
      </c>
    </row>
    <row r="81" spans="2:20" s="30" customFormat="1" x14ac:dyDescent="0.3">
      <c r="B81" s="66" t="s">
        <v>11</v>
      </c>
      <c r="C81" s="67" t="s">
        <v>23</v>
      </c>
      <c r="D81" s="68">
        <f t="shared" ref="D81:O81" si="113">D78+D71</f>
        <v>1653662.0344827585</v>
      </c>
      <c r="E81" s="68">
        <f t="shared" si="113"/>
        <v>6692629.7413793132</v>
      </c>
      <c r="F81" s="68">
        <f t="shared" si="113"/>
        <v>12045417.241379306</v>
      </c>
      <c r="G81" s="68">
        <f t="shared" si="113"/>
        <v>-217931.18620689586</v>
      </c>
      <c r="H81" s="31">
        <f t="shared" si="113"/>
        <v>-45000000</v>
      </c>
      <c r="I81" s="31">
        <f t="shared" si="113"/>
        <v>-45000000</v>
      </c>
      <c r="J81" s="31">
        <f t="shared" si="113"/>
        <v>-45000000</v>
      </c>
      <c r="K81" s="31">
        <f t="shared" si="113"/>
        <v>-45000000</v>
      </c>
      <c r="L81" s="31">
        <f t="shared" si="113"/>
        <v>-45000000</v>
      </c>
      <c r="M81" s="31">
        <f t="shared" si="113"/>
        <v>-45000000</v>
      </c>
      <c r="N81" s="31">
        <f t="shared" si="113"/>
        <v>-45000000</v>
      </c>
      <c r="O81" s="31">
        <f t="shared" si="113"/>
        <v>-45000000</v>
      </c>
      <c r="P81" s="40">
        <f>SUM(D81:G81)</f>
        <v>20173777.831034482</v>
      </c>
      <c r="Q81" s="3"/>
      <c r="R81" s="3"/>
      <c r="S81" s="3"/>
      <c r="T81" s="3"/>
    </row>
    <row r="82" spans="2:20" x14ac:dyDescent="0.3">
      <c r="B82" s="3" t="s">
        <v>39</v>
      </c>
      <c r="C82" s="7" t="s">
        <v>40</v>
      </c>
      <c r="D82" s="34">
        <f t="shared" ref="D82:P82" si="114">D81/D7</f>
        <v>323.09918856666428</v>
      </c>
      <c r="E82" s="34">
        <f t="shared" si="114"/>
        <v>972.58924488709363</v>
      </c>
      <c r="F82" s="34">
        <f t="shared" si="114"/>
        <v>1357.2301117047105</v>
      </c>
      <c r="G82" s="34">
        <f t="shared" si="114"/>
        <v>-48.767817892452221</v>
      </c>
      <c r="H82" s="34" t="e">
        <f t="shared" si="114"/>
        <v>#DIV/0!</v>
      </c>
      <c r="I82" s="34" t="e">
        <f t="shared" si="114"/>
        <v>#DIV/0!</v>
      </c>
      <c r="J82" s="34" t="e">
        <f t="shared" si="114"/>
        <v>#DIV/0!</v>
      </c>
      <c r="K82" s="34" t="e">
        <f t="shared" si="114"/>
        <v>#DIV/0!</v>
      </c>
      <c r="L82" s="34" t="e">
        <f t="shared" si="114"/>
        <v>#DIV/0!</v>
      </c>
      <c r="M82" s="34" t="e">
        <f t="shared" si="114"/>
        <v>#DIV/0!</v>
      </c>
      <c r="N82" s="34" t="e">
        <f t="shared" si="114"/>
        <v>#DIV/0!</v>
      </c>
      <c r="O82" s="34" t="e">
        <f t="shared" si="114"/>
        <v>#DIV/0!</v>
      </c>
      <c r="P82" s="40">
        <f t="shared" si="114"/>
        <v>796.0256610435564</v>
      </c>
    </row>
    <row r="84" spans="2:20" hidden="1" outlineLevel="1" x14ac:dyDescent="0.3">
      <c r="B84" s="3" t="s">
        <v>277</v>
      </c>
      <c r="C84" s="7" t="s">
        <v>23</v>
      </c>
      <c r="D84" s="11">
        <v>-5905000</v>
      </c>
      <c r="E84" s="11">
        <v>-5905000</v>
      </c>
      <c r="F84" s="11">
        <v>-5535000</v>
      </c>
      <c r="G84" s="11">
        <v>-5505000</v>
      </c>
    </row>
    <row r="85" spans="2:20" hidden="1" outlineLevel="1" x14ac:dyDescent="0.3">
      <c r="B85" s="3" t="s">
        <v>278</v>
      </c>
      <c r="C85" s="7" t="s">
        <v>23</v>
      </c>
      <c r="D85" s="11">
        <v>-1280969.5918000001</v>
      </c>
      <c r="E85" s="11">
        <v>-1250119.7318</v>
      </c>
      <c r="F85" s="11">
        <v>-1185817.889832787</v>
      </c>
      <c r="G85" s="11">
        <v>-1245133.6118000001</v>
      </c>
    </row>
    <row r="86" spans="2:20" hidden="1" outlineLevel="1" x14ac:dyDescent="0.3"/>
    <row r="87" spans="2:20" hidden="1" outlineLevel="1" x14ac:dyDescent="0.3">
      <c r="B87" s="3" t="s">
        <v>32</v>
      </c>
      <c r="D87" s="40">
        <f>SUM(D88:D90)</f>
        <v>27551281</v>
      </c>
      <c r="E87" s="40">
        <f t="shared" ref="E87:G87" si="115">SUM(E88:E90)</f>
        <v>36826612.5</v>
      </c>
      <c r="F87" s="40">
        <f t="shared" si="115"/>
        <v>46969900</v>
      </c>
      <c r="G87" s="40">
        <f t="shared" si="115"/>
        <v>24119396.400000002</v>
      </c>
    </row>
    <row r="88" spans="2:20" hidden="1" outlineLevel="1" x14ac:dyDescent="0.3">
      <c r="B88" s="3" t="s">
        <v>266</v>
      </c>
      <c r="D88" s="40">
        <f>D63</f>
        <v>764940</v>
      </c>
      <c r="E88" s="40">
        <f>E63</f>
        <v>844800</v>
      </c>
      <c r="F88" s="40">
        <f>F63</f>
        <v>478500</v>
      </c>
      <c r="G88" s="40">
        <f>G63</f>
        <v>544500</v>
      </c>
    </row>
    <row r="89" spans="2:20" hidden="1" outlineLevel="1" x14ac:dyDescent="0.3">
      <c r="B89" s="3" t="s">
        <v>265</v>
      </c>
      <c r="D89" s="40">
        <f>D65</f>
        <v>532407.0000000007</v>
      </c>
      <c r="E89" s="40">
        <f>E65</f>
        <v>177292.50000000195</v>
      </c>
      <c r="F89" s="40">
        <f>F65</f>
        <v>85799.99999999888</v>
      </c>
      <c r="G89" s="40">
        <f>G65</f>
        <v>1346.4000000024896</v>
      </c>
    </row>
    <row r="90" spans="2:20" hidden="1" outlineLevel="1" x14ac:dyDescent="0.3">
      <c r="B90" s="3" t="s">
        <v>279</v>
      </c>
      <c r="D90" s="40">
        <f>D69</f>
        <v>26253934</v>
      </c>
      <c r="E90" s="40">
        <f>E69</f>
        <v>35804520</v>
      </c>
      <c r="F90" s="40">
        <f>F69</f>
        <v>46405600</v>
      </c>
      <c r="G90" s="40">
        <f>G69</f>
        <v>23573550</v>
      </c>
    </row>
    <row r="91" spans="2:20" hidden="1" outlineLevel="1" x14ac:dyDescent="0.3">
      <c r="B91" s="3" t="s">
        <v>38</v>
      </c>
      <c r="D91" s="40">
        <f>-D78</f>
        <v>25897618.965517242</v>
      </c>
      <c r="E91" s="40">
        <f>-E78</f>
        <v>30133982.758620687</v>
      </c>
      <c r="F91" s="40">
        <f>-F78</f>
        <v>34924482.758620694</v>
      </c>
      <c r="G91" s="40">
        <f>-G78</f>
        <v>24337327.586206898</v>
      </c>
    </row>
    <row r="92" spans="2:20" hidden="1" outlineLevel="1" x14ac:dyDescent="0.3">
      <c r="B92" s="3" t="s">
        <v>11</v>
      </c>
      <c r="D92" s="40">
        <f>D81</f>
        <v>1653662.0344827585</v>
      </c>
      <c r="E92" s="40">
        <f t="shared" ref="E92:G92" si="116">E81</f>
        <v>6692629.7413793132</v>
      </c>
      <c r="F92" s="40">
        <f t="shared" si="116"/>
        <v>12045417.241379306</v>
      </c>
      <c r="G92" s="40">
        <f t="shared" si="116"/>
        <v>-217931.18620689586</v>
      </c>
    </row>
    <row r="93" spans="2:20" hidden="1" outlineLevel="1" x14ac:dyDescent="0.3">
      <c r="B93" s="3" t="s">
        <v>39</v>
      </c>
      <c r="D93" s="52">
        <f>D82</f>
        <v>323.09918856666428</v>
      </c>
      <c r="E93" s="52">
        <f t="shared" ref="E93:G93" si="117">E82</f>
        <v>972.58924488709363</v>
      </c>
      <c r="F93" s="52">
        <f t="shared" si="117"/>
        <v>1357.2301117047105</v>
      </c>
      <c r="G93" s="52">
        <f t="shared" si="117"/>
        <v>-48.767817892452221</v>
      </c>
    </row>
    <row r="94" spans="2:20" hidden="1" outlineLevel="1" x14ac:dyDescent="0.3"/>
    <row r="95" spans="2:20" hidden="1" outlineLevel="1" x14ac:dyDescent="0.3">
      <c r="B95" s="3" t="s">
        <v>32</v>
      </c>
      <c r="D95" s="40">
        <f>D87/D$7</f>
        <v>5383.0809134204419</v>
      </c>
      <c r="E95" s="40">
        <f t="shared" ref="E95:G95" si="118">E87/E$7</f>
        <v>5351.7329700272476</v>
      </c>
      <c r="F95" s="40">
        <f t="shared" si="118"/>
        <v>5292.3830985915492</v>
      </c>
      <c r="G95" s="40">
        <f t="shared" si="118"/>
        <v>5397.3474461538462</v>
      </c>
    </row>
    <row r="96" spans="2:20" hidden="1" outlineLevel="1" x14ac:dyDescent="0.3">
      <c r="B96" s="3" t="s">
        <v>266</v>
      </c>
      <c r="D96" s="40">
        <f t="shared" ref="D96:G96" si="119">D88/D$7</f>
        <v>149.45707656612529</v>
      </c>
      <c r="E96" s="40">
        <f t="shared" si="119"/>
        <v>122.7683923705722</v>
      </c>
      <c r="F96" s="40">
        <f t="shared" si="119"/>
        <v>53.91549295774648</v>
      </c>
      <c r="G96" s="40">
        <f t="shared" si="119"/>
        <v>121.84615384615384</v>
      </c>
    </row>
    <row r="97" spans="2:7" hidden="1" outlineLevel="1" x14ac:dyDescent="0.3">
      <c r="B97" s="3" t="s">
        <v>265</v>
      </c>
      <c r="D97" s="40">
        <f t="shared" ref="D97:G97" si="120">D89/D$7</f>
        <v>104.0238368543169</v>
      </c>
      <c r="E97" s="40">
        <f t="shared" si="120"/>
        <v>25.764577656676032</v>
      </c>
      <c r="F97" s="40">
        <f t="shared" si="120"/>
        <v>9.6676056338026903</v>
      </c>
      <c r="G97" s="40">
        <f t="shared" si="120"/>
        <v>0.3012923076928648</v>
      </c>
    </row>
    <row r="98" spans="2:7" hidden="1" outlineLevel="1" x14ac:dyDescent="0.3">
      <c r="B98" s="3" t="s">
        <v>279</v>
      </c>
      <c r="D98" s="40">
        <f t="shared" ref="D98:G98" si="121">D90/D$7</f>
        <v>5129.6000000000004</v>
      </c>
      <c r="E98" s="40">
        <f t="shared" si="121"/>
        <v>5203.2</v>
      </c>
      <c r="F98" s="40">
        <f t="shared" si="121"/>
        <v>5228.8</v>
      </c>
      <c r="G98" s="40">
        <f t="shared" si="121"/>
        <v>5275.2</v>
      </c>
    </row>
    <row r="99" spans="2:7" hidden="1" outlineLevel="1" x14ac:dyDescent="0.3">
      <c r="B99" s="3" t="s">
        <v>38</v>
      </c>
      <c r="D99" s="40">
        <f t="shared" ref="D99:G99" si="122">D91/D$7</f>
        <v>5059.9817248537775</v>
      </c>
      <c r="E99" s="40">
        <f t="shared" si="122"/>
        <v>4379.1437251401539</v>
      </c>
      <c r="F99" s="40">
        <f t="shared" si="122"/>
        <v>3935.1529868868388</v>
      </c>
      <c r="G99" s="40">
        <f t="shared" si="122"/>
        <v>5446.1152640462988</v>
      </c>
    </row>
    <row r="100" spans="2:7" hidden="1" outlineLevel="1" x14ac:dyDescent="0.3">
      <c r="B100" s="3" t="s">
        <v>11</v>
      </c>
      <c r="D100" s="40">
        <f t="shared" ref="D100:G100" si="123">D92/D$7</f>
        <v>323.09918856666428</v>
      </c>
      <c r="E100" s="40">
        <f t="shared" si="123"/>
        <v>972.58924488709363</v>
      </c>
      <c r="F100" s="40">
        <f t="shared" si="123"/>
        <v>1357.2301117047105</v>
      </c>
      <c r="G100" s="40">
        <f t="shared" si="123"/>
        <v>-48.767817892452221</v>
      </c>
    </row>
    <row r="101" spans="2:7" hidden="1" outlineLevel="1" x14ac:dyDescent="0.3">
      <c r="B101" s="3" t="s">
        <v>39</v>
      </c>
      <c r="D101" s="52">
        <f>D93</f>
        <v>323.09918856666428</v>
      </c>
      <c r="E101" s="52">
        <f t="shared" ref="E101:G101" si="124">E93</f>
        <v>972.58924488709363</v>
      </c>
      <c r="F101" s="52">
        <f t="shared" si="124"/>
        <v>1357.2301117047105</v>
      </c>
      <c r="G101" s="52">
        <f t="shared" si="124"/>
        <v>-48.767817892452221</v>
      </c>
    </row>
    <row r="102" spans="2:7" hidden="1" outlineLevel="1" x14ac:dyDescent="0.3"/>
    <row r="103" spans="2:7" collapsed="1" x14ac:dyDescent="0.3">
      <c r="B103" s="3" t="s">
        <v>273</v>
      </c>
      <c r="C103" s="7" t="s">
        <v>0</v>
      </c>
      <c r="D103" s="40">
        <f>D6</f>
        <v>81890</v>
      </c>
      <c r="E103" s="40">
        <f>E6</f>
        <v>110100</v>
      </c>
      <c r="F103" s="40">
        <f>F6</f>
        <v>142000</v>
      </c>
      <c r="G103" s="40">
        <f>G6</f>
        <v>71500</v>
      </c>
    </row>
    <row r="104" spans="2:7" x14ac:dyDescent="0.3">
      <c r="B104" s="3" t="s">
        <v>274</v>
      </c>
      <c r="C104" s="7" t="s">
        <v>0</v>
      </c>
      <c r="D104" s="40">
        <f>D54</f>
        <v>-53760</v>
      </c>
      <c r="E104" s="40">
        <f>E54</f>
        <v>-66000</v>
      </c>
      <c r="F104" s="40">
        <f>F54</f>
        <v>-33000</v>
      </c>
      <c r="G104" s="40">
        <f>G54</f>
        <v>-49500</v>
      </c>
    </row>
    <row r="105" spans="2:7" x14ac:dyDescent="0.3">
      <c r="B105" s="3" t="s">
        <v>275</v>
      </c>
      <c r="C105" s="7" t="s">
        <v>0</v>
      </c>
      <c r="D105" s="40">
        <f>D50</f>
        <v>0</v>
      </c>
      <c r="E105" s="40">
        <f>E50</f>
        <v>0</v>
      </c>
      <c r="F105" s="40">
        <f>F50</f>
        <v>0</v>
      </c>
      <c r="G105" s="40">
        <f>G50</f>
        <v>0</v>
      </c>
    </row>
    <row r="106" spans="2:7" x14ac:dyDescent="0.3">
      <c r="B106" s="66" t="s">
        <v>276</v>
      </c>
      <c r="C106" s="67" t="s">
        <v>0</v>
      </c>
      <c r="D106" s="68">
        <f>SUM(D103:D105)</f>
        <v>28130</v>
      </c>
      <c r="E106" s="68">
        <f t="shared" ref="E106:G106" si="125">SUM(E103:E105)</f>
        <v>44100</v>
      </c>
      <c r="F106" s="68">
        <f t="shared" si="125"/>
        <v>109000</v>
      </c>
      <c r="G106" s="68">
        <f t="shared" si="125"/>
        <v>22000</v>
      </c>
    </row>
    <row r="108" spans="2:7" x14ac:dyDescent="0.3">
      <c r="B108" s="3" t="s">
        <v>38</v>
      </c>
      <c r="D108" s="40">
        <f>-D78</f>
        <v>25897618.965517242</v>
      </c>
      <c r="E108" s="40">
        <f t="shared" ref="E108:G108" si="126">-E78</f>
        <v>30133982.758620687</v>
      </c>
      <c r="F108" s="40">
        <f t="shared" si="126"/>
        <v>34924482.758620694</v>
      </c>
      <c r="G108" s="40">
        <f t="shared" si="126"/>
        <v>24337327.586206898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17F1-982D-490B-BAC9-AFEA332158FE}">
  <dimension ref="A1:GK315"/>
  <sheetViews>
    <sheetView showGridLines="0" topLeftCell="A15" zoomScale="66" zoomScaleNormal="70" workbookViewId="0">
      <selection activeCell="L16" sqref="A16:XFD16"/>
    </sheetView>
  </sheetViews>
  <sheetFormatPr defaultColWidth="12.33203125" defaultRowHeight="13.8" x14ac:dyDescent="0.3"/>
  <cols>
    <col min="1" max="1" width="2.33203125" style="131" bestFit="1" customWidth="1"/>
    <col min="2" max="2" width="8.77734375" style="131" bestFit="1" customWidth="1"/>
    <col min="3" max="3" width="13.33203125" style="131" bestFit="1" customWidth="1"/>
    <col min="4" max="4" width="5.44140625" style="131" bestFit="1" customWidth="1"/>
    <col min="5" max="5" width="6.77734375" style="131" bestFit="1" customWidth="1"/>
    <col min="6" max="6" width="13.33203125" style="131" bestFit="1" customWidth="1"/>
    <col min="7" max="7" width="5.88671875" style="131" bestFit="1" customWidth="1"/>
    <col min="8" max="8" width="7.88671875" style="131" bestFit="1" customWidth="1"/>
    <col min="9" max="9" width="27" style="131" bestFit="1" customWidth="1"/>
    <col min="10" max="10" width="23.109375" style="131" customWidth="1"/>
    <col min="11" max="11" width="13.44140625" style="131" bestFit="1" customWidth="1"/>
    <col min="12" max="12" width="28.109375" style="131" bestFit="1" customWidth="1"/>
    <col min="13" max="13" width="7.6640625" style="131" hidden="1" customWidth="1"/>
    <col min="14" max="14" width="15.6640625" style="131" hidden="1" customWidth="1"/>
    <col min="15" max="15" width="15.5546875" style="131" hidden="1" customWidth="1"/>
    <col min="16" max="16" width="28.109375" style="131" hidden="1" customWidth="1"/>
    <col min="17" max="17" width="13.77734375" style="131" hidden="1" customWidth="1"/>
    <col min="18" max="18" width="37.21875" style="131" hidden="1" customWidth="1"/>
    <col min="19" max="19" width="14.44140625" style="131" hidden="1" customWidth="1"/>
    <col min="20" max="20" width="31.5546875" style="131" hidden="1" customWidth="1"/>
    <col min="21" max="21" width="16.6640625" style="131" bestFit="1" customWidth="1"/>
    <col min="22" max="22" width="12.109375" style="131" bestFit="1" customWidth="1"/>
    <col min="23" max="24" width="32.33203125" style="131" customWidth="1"/>
    <col min="25" max="25" width="12.109375" style="131" bestFit="1" customWidth="1"/>
    <col min="26" max="26" width="7.88671875" style="131" bestFit="1" customWidth="1"/>
    <col min="27" max="27" width="19" style="131" bestFit="1" customWidth="1"/>
    <col min="28" max="28" width="12.109375" style="131" bestFit="1" customWidth="1"/>
    <col min="29" max="29" width="7.6640625" style="131" bestFit="1" customWidth="1"/>
    <col min="30" max="30" width="16.6640625" style="131" bestFit="1" customWidth="1"/>
    <col min="31" max="31" width="12.109375" style="131" bestFit="1" customWidth="1"/>
    <col min="32" max="32" width="11" style="131" bestFit="1" customWidth="1"/>
    <col min="33" max="33" width="12.33203125" style="70"/>
    <col min="34" max="34" width="12.109375" style="70" hidden="1" customWidth="1"/>
    <col min="35" max="35" width="5.44140625" style="70" hidden="1" customWidth="1"/>
    <col min="36" max="36" width="12.109375" style="70" hidden="1" customWidth="1"/>
    <col min="37" max="37" width="0" style="70" hidden="1" customWidth="1"/>
    <col min="38" max="38" width="12.109375" style="70" hidden="1" customWidth="1"/>
    <col min="39" max="39" width="0" style="70" hidden="1" customWidth="1"/>
    <col min="40" max="40" width="12.109375" style="70" hidden="1" customWidth="1"/>
    <col min="41" max="41" width="0" style="70" hidden="1" customWidth="1"/>
    <col min="42" max="42" width="12.109375" style="70" hidden="1" customWidth="1"/>
    <col min="43" max="43" width="0" style="70" hidden="1" customWidth="1"/>
    <col min="44" max="44" width="12.109375" style="70" hidden="1" customWidth="1"/>
    <col min="45" max="45" width="0" style="70" hidden="1" customWidth="1"/>
    <col min="46" max="46" width="12.109375" style="70" hidden="1" customWidth="1"/>
    <col min="47" max="47" width="0" style="70" hidden="1" customWidth="1"/>
    <col min="48" max="48" width="12.109375" style="70" bestFit="1" customWidth="1"/>
    <col min="49" max="49" width="11" style="70" bestFit="1" customWidth="1"/>
    <col min="50" max="50" width="12.109375" style="70" bestFit="1" customWidth="1"/>
    <col min="51" max="51" width="12.33203125" style="70"/>
    <col min="52" max="52" width="12.109375" style="70" bestFit="1" customWidth="1"/>
    <col min="53" max="53" width="12.33203125" style="70"/>
    <col min="54" max="54" width="12.109375" style="70" bestFit="1" customWidth="1"/>
    <col min="55" max="55" width="12.33203125" style="70"/>
    <col min="56" max="56" width="15.33203125" style="70" bestFit="1" customWidth="1"/>
    <col min="57" max="57" width="12.109375" style="73" bestFit="1" customWidth="1"/>
    <col min="58" max="58" width="3.21875" style="70" bestFit="1" customWidth="1"/>
    <col min="59" max="59" width="15.33203125" style="70" hidden="1" customWidth="1"/>
    <col min="60" max="60" width="11" style="70" hidden="1" customWidth="1"/>
    <col min="61" max="61" width="0" style="70" hidden="1" customWidth="1"/>
    <col min="62" max="62" width="14.88671875" style="70" hidden="1" customWidth="1"/>
    <col min="63" max="63" width="11" style="70" hidden="1" customWidth="1"/>
    <col min="64" max="64" width="0" style="70" hidden="1" customWidth="1"/>
    <col min="65" max="65" width="14.88671875" style="70" hidden="1" customWidth="1"/>
    <col min="66" max="66" width="8.77734375" style="70" hidden="1" customWidth="1"/>
    <col min="67" max="67" width="0" style="70" hidden="1" customWidth="1"/>
    <col min="68" max="68" width="14.33203125" style="70" hidden="1" customWidth="1"/>
    <col min="69" max="69" width="9.88671875" style="70" hidden="1" customWidth="1"/>
    <col min="70" max="70" width="0" style="70" hidden="1" customWidth="1"/>
    <col min="71" max="71" width="14.33203125" style="70" hidden="1" customWidth="1"/>
    <col min="72" max="72" width="12.109375" style="70" hidden="1" customWidth="1"/>
    <col min="73" max="73" width="0" style="70" hidden="1" customWidth="1"/>
    <col min="74" max="74" width="15.6640625" style="70" hidden="1" customWidth="1"/>
    <col min="75" max="75" width="9.88671875" style="70" hidden="1" customWidth="1"/>
    <col min="76" max="76" width="0" style="70" hidden="1" customWidth="1"/>
    <col min="77" max="77" width="16" style="70" hidden="1" customWidth="1"/>
    <col min="78" max="78" width="8.77734375" style="70" hidden="1" customWidth="1"/>
    <col min="79" max="79" width="0" style="70" hidden="1" customWidth="1"/>
    <col min="80" max="80" width="16" style="70" hidden="1" customWidth="1"/>
    <col min="81" max="81" width="8.77734375" style="70" hidden="1" customWidth="1"/>
    <col min="82" max="82" width="0" style="70" hidden="1" customWidth="1"/>
    <col min="83" max="83" width="15.109375" style="70" hidden="1" customWidth="1"/>
    <col min="84" max="84" width="9.88671875" style="70" hidden="1" customWidth="1"/>
    <col min="85" max="85" width="0" style="70" hidden="1" customWidth="1"/>
    <col min="86" max="86" width="15.44140625" style="70" hidden="1" customWidth="1"/>
    <col min="87" max="87" width="8.77734375" style="70" hidden="1" customWidth="1"/>
    <col min="88" max="88" width="0" style="70" hidden="1" customWidth="1"/>
    <col min="89" max="89" width="15.6640625" style="70" hidden="1" customWidth="1"/>
    <col min="90" max="90" width="7.6640625" style="70" hidden="1" customWidth="1"/>
    <col min="91" max="91" width="0" style="70" hidden="1" customWidth="1"/>
    <col min="92" max="92" width="15.33203125" style="70" hidden="1" customWidth="1"/>
    <col min="93" max="93" width="9.88671875" style="70" hidden="1" customWidth="1"/>
    <col min="94" max="94" width="0" style="70" hidden="1" customWidth="1"/>
    <col min="95" max="95" width="15.6640625" style="70" hidden="1" customWidth="1"/>
    <col min="96" max="96" width="9.88671875" style="70" hidden="1" customWidth="1"/>
    <col min="97" max="97" width="0" style="70" hidden="1" customWidth="1"/>
    <col min="98" max="98" width="15.33203125" style="70" hidden="1" customWidth="1"/>
    <col min="99" max="99" width="7.6640625" style="70" hidden="1" customWidth="1"/>
    <col min="100" max="100" width="0" style="70" hidden="1" customWidth="1"/>
    <col min="101" max="101" width="15.6640625" style="70" hidden="1" customWidth="1"/>
    <col min="102" max="102" width="8.77734375" style="70" hidden="1" customWidth="1"/>
    <col min="103" max="103" width="0" style="70" hidden="1" customWidth="1"/>
    <col min="104" max="104" width="15.6640625" style="70" hidden="1" customWidth="1"/>
    <col min="105" max="105" width="7.6640625" style="70" hidden="1" customWidth="1"/>
    <col min="106" max="106" width="0" style="70" hidden="1" customWidth="1"/>
    <col min="107" max="107" width="15.6640625" style="70" hidden="1" customWidth="1"/>
    <col min="108" max="108" width="7.6640625" style="70" hidden="1" customWidth="1"/>
    <col min="109" max="109" width="0" style="70" hidden="1" customWidth="1"/>
    <col min="110" max="110" width="15.6640625" style="70" hidden="1" customWidth="1"/>
    <col min="111" max="111" width="7.6640625" style="70" hidden="1" customWidth="1"/>
    <col min="112" max="112" width="0" style="70" hidden="1" customWidth="1"/>
    <col min="113" max="113" width="15.33203125" style="70" hidden="1" customWidth="1"/>
    <col min="114" max="114" width="7.6640625" style="70" hidden="1" customWidth="1"/>
    <col min="115" max="115" width="0" style="70" hidden="1" customWidth="1"/>
    <col min="116" max="116" width="15.6640625" style="70" hidden="1" customWidth="1"/>
    <col min="117" max="117" width="7.6640625" style="70" hidden="1" customWidth="1"/>
    <col min="118" max="118" width="0" style="70" hidden="1" customWidth="1"/>
    <col min="119" max="119" width="15.44140625" style="70" hidden="1" customWidth="1"/>
    <col min="120" max="120" width="8.77734375" style="70" hidden="1" customWidth="1"/>
    <col min="121" max="121" width="0" style="70" hidden="1" customWidth="1"/>
    <col min="122" max="122" width="15.88671875" style="70" hidden="1" customWidth="1"/>
    <col min="123" max="123" width="8.77734375" style="70" hidden="1" customWidth="1"/>
    <col min="124" max="124" width="0" style="70" hidden="1" customWidth="1"/>
    <col min="125" max="125" width="15.44140625" style="70" hidden="1" customWidth="1"/>
    <col min="126" max="126" width="7.6640625" style="70" hidden="1" customWidth="1"/>
    <col min="127" max="127" width="0" style="70" hidden="1" customWidth="1"/>
    <col min="128" max="128" width="15.88671875" style="70" hidden="1" customWidth="1"/>
    <col min="129" max="129" width="7.6640625" style="70" hidden="1" customWidth="1"/>
    <col min="130" max="130" width="12.33203125" style="70"/>
    <col min="131" max="131" width="15.44140625" style="70" bestFit="1" customWidth="1"/>
    <col min="132" max="132" width="9" style="70" bestFit="1" customWidth="1"/>
    <col min="133" max="133" width="12.33203125" style="70"/>
    <col min="134" max="134" width="15.88671875" style="70" bestFit="1" customWidth="1"/>
    <col min="135" max="135" width="13.44140625" style="70" bestFit="1" customWidth="1"/>
    <col min="136" max="136" width="12.33203125" style="70"/>
    <col min="137" max="137" width="15.44140625" style="70" bestFit="1" customWidth="1"/>
    <col min="138" max="138" width="8.77734375" style="70" bestFit="1" customWidth="1"/>
    <col min="139" max="139" width="12.33203125" style="70"/>
    <col min="140" max="140" width="15.88671875" style="70" bestFit="1" customWidth="1"/>
    <col min="141" max="141" width="8.77734375" style="70" bestFit="1" customWidth="1"/>
    <col min="142" max="142" width="12.33203125" style="70"/>
    <col min="143" max="143" width="15.44140625" style="70" bestFit="1" customWidth="1"/>
    <col min="144" max="144" width="7.6640625" style="70" bestFit="1" customWidth="1"/>
    <col min="145" max="145" width="12.33203125" style="70"/>
    <col min="146" max="146" width="15.44140625" style="70" bestFit="1" customWidth="1"/>
    <col min="147" max="147" width="7.6640625" style="70" bestFit="1" customWidth="1"/>
    <col min="148" max="148" width="12.33203125" style="70"/>
    <col min="149" max="149" width="15.44140625" style="70" bestFit="1" customWidth="1"/>
    <col min="150" max="150" width="7.6640625" style="70" bestFit="1" customWidth="1"/>
    <col min="151" max="151" width="12.33203125" style="70"/>
    <col min="152" max="152" width="15.33203125" style="70" bestFit="1" customWidth="1"/>
    <col min="153" max="153" width="13.44140625" style="70" bestFit="1" customWidth="1"/>
    <col min="154" max="154" width="12.33203125" style="70"/>
    <col min="155" max="155" width="15.33203125" style="70" bestFit="1" customWidth="1"/>
    <col min="156" max="156" width="8.77734375" style="70" bestFit="1" customWidth="1"/>
    <col min="157" max="157" width="12.33203125" style="70"/>
    <col min="158" max="158" width="15.6640625" style="70" bestFit="1" customWidth="1"/>
    <col min="159" max="159" width="8.77734375" style="70" bestFit="1" customWidth="1"/>
    <col min="160" max="160" width="12.33203125" style="70"/>
    <col min="161" max="161" width="15.6640625" style="70" bestFit="1" customWidth="1"/>
    <col min="162" max="162" width="8.77734375" style="70" bestFit="1" customWidth="1"/>
    <col min="163" max="163" width="12.33203125" style="70"/>
    <col min="164" max="164" width="15.44140625" style="70" bestFit="1" customWidth="1"/>
    <col min="165" max="165" width="8.77734375" style="70" bestFit="1" customWidth="1"/>
    <col min="166" max="166" width="12.33203125" style="70"/>
    <col min="167" max="167" width="15.88671875" style="70" bestFit="1" customWidth="1"/>
    <col min="168" max="168" width="8.77734375" style="70" bestFit="1" customWidth="1"/>
    <col min="169" max="169" width="12.33203125" style="70"/>
    <col min="170" max="170" width="15.6640625" style="70" bestFit="1" customWidth="1"/>
    <col min="171" max="171" width="8.77734375" style="70" bestFit="1" customWidth="1"/>
    <col min="172" max="172" width="12.33203125" style="70"/>
    <col min="173" max="173" width="15.33203125" style="70" bestFit="1" customWidth="1"/>
    <col min="174" max="174" width="8.77734375" style="70" bestFit="1" customWidth="1"/>
    <col min="175" max="180" width="12.33203125" style="70"/>
    <col min="181" max="181" width="13.33203125" style="70" bestFit="1" customWidth="1"/>
    <col min="182" max="182" width="8.77734375" style="70" bestFit="1" customWidth="1"/>
    <col min="183" max="183" width="12.33203125" style="70"/>
    <col min="184" max="184" width="4.33203125" style="70" bestFit="1" customWidth="1"/>
    <col min="185" max="185" width="6.5546875" style="70" bestFit="1" customWidth="1"/>
    <col min="186" max="187" width="12.33203125" style="70"/>
    <col min="188" max="188" width="7.6640625" style="80" bestFit="1" customWidth="1"/>
    <col min="189" max="189" width="14.44140625" style="70" bestFit="1" customWidth="1"/>
    <col min="190" max="190" width="8.77734375" style="70" bestFit="1" customWidth="1"/>
    <col min="191" max="191" width="11" style="73" bestFit="1" customWidth="1"/>
    <col min="192" max="192" width="8.77734375" style="73" bestFit="1" customWidth="1"/>
    <col min="193" max="193" width="21.33203125" style="70" bestFit="1" customWidth="1"/>
    <col min="194" max="16384" width="12.33203125" style="70"/>
  </cols>
  <sheetData>
    <row r="1" spans="1:193" x14ac:dyDescent="0.3">
      <c r="A1" s="205" t="s">
        <v>45</v>
      </c>
      <c r="B1" s="205"/>
      <c r="D1" s="205" t="s">
        <v>46</v>
      </c>
      <c r="E1" s="205"/>
      <c r="G1" s="205" t="s">
        <v>47</v>
      </c>
      <c r="H1" s="205"/>
      <c r="J1" s="205" t="s">
        <v>48</v>
      </c>
      <c r="K1" s="205"/>
      <c r="M1" s="205" t="s">
        <v>49</v>
      </c>
      <c r="N1" s="205"/>
      <c r="P1" s="205" t="s">
        <v>50</v>
      </c>
      <c r="Q1" s="205"/>
      <c r="S1" s="205" t="s">
        <v>51</v>
      </c>
      <c r="T1" s="205"/>
      <c r="V1" s="206" t="s">
        <v>52</v>
      </c>
      <c r="W1" s="206"/>
      <c r="X1" s="165"/>
      <c r="Y1" s="206" t="s">
        <v>53</v>
      </c>
      <c r="Z1" s="206"/>
      <c r="AA1" s="165"/>
      <c r="AB1" s="206" t="s">
        <v>54</v>
      </c>
      <c r="AC1" s="206"/>
      <c r="AD1" s="165"/>
      <c r="AE1" s="206" t="s">
        <v>55</v>
      </c>
      <c r="AF1" s="206"/>
      <c r="AH1" s="92" t="s">
        <v>56</v>
      </c>
      <c r="AI1" s="92"/>
      <c r="AJ1" s="92" t="s">
        <v>57</v>
      </c>
      <c r="AK1" s="92"/>
      <c r="AL1" s="92" t="s">
        <v>58</v>
      </c>
      <c r="AM1" s="92"/>
      <c r="AN1" s="92" t="s">
        <v>59</v>
      </c>
      <c r="AO1" s="92"/>
      <c r="AP1" s="92" t="s">
        <v>60</v>
      </c>
      <c r="AQ1" s="92"/>
      <c r="AR1" s="92" t="s">
        <v>61</v>
      </c>
      <c r="AS1" s="92"/>
      <c r="AT1" s="92" t="s">
        <v>62</v>
      </c>
      <c r="AU1" s="92"/>
      <c r="AV1" s="92" t="s">
        <v>63</v>
      </c>
      <c r="AW1" s="92"/>
      <c r="AX1" s="92" t="s">
        <v>64</v>
      </c>
      <c r="AY1" s="92"/>
      <c r="AZ1" s="92" t="s">
        <v>65</v>
      </c>
      <c r="BA1" s="92"/>
      <c r="BB1" s="92" t="s">
        <v>66</v>
      </c>
      <c r="BD1" s="71" t="s">
        <v>67</v>
      </c>
      <c r="BE1" s="72">
        <v>315</v>
      </c>
      <c r="BF1" s="73"/>
      <c r="BG1" s="71" t="s">
        <v>67</v>
      </c>
      <c r="BH1" s="72">
        <v>315</v>
      </c>
      <c r="BI1" s="73"/>
      <c r="BJ1" s="71" t="s">
        <v>68</v>
      </c>
      <c r="BK1" s="72">
        <v>315</v>
      </c>
      <c r="BL1" s="74"/>
      <c r="BM1" s="71" t="s">
        <v>69</v>
      </c>
      <c r="BN1" s="72">
        <v>330</v>
      </c>
      <c r="BO1" s="74"/>
      <c r="BP1" s="71" t="s">
        <v>70</v>
      </c>
      <c r="BQ1" s="72">
        <v>330</v>
      </c>
      <c r="BR1" s="73"/>
      <c r="BS1" s="71" t="s">
        <v>70</v>
      </c>
      <c r="BT1" s="72">
        <v>330</v>
      </c>
      <c r="BU1" s="73"/>
      <c r="BV1" s="71" t="s">
        <v>71</v>
      </c>
      <c r="BW1" s="72">
        <v>325</v>
      </c>
      <c r="BX1" s="73"/>
      <c r="BY1" s="71" t="s">
        <v>72</v>
      </c>
      <c r="BZ1" s="72">
        <v>335</v>
      </c>
      <c r="CA1" s="73"/>
      <c r="CB1" s="71" t="s">
        <v>73</v>
      </c>
      <c r="CC1" s="72">
        <v>325</v>
      </c>
      <c r="CD1" s="73"/>
      <c r="CE1" s="71" t="s">
        <v>74</v>
      </c>
      <c r="CF1" s="72">
        <v>330</v>
      </c>
      <c r="CG1" s="73"/>
      <c r="CH1" s="71" t="s">
        <v>75</v>
      </c>
      <c r="CI1" s="72">
        <v>330</v>
      </c>
      <c r="CJ1" s="73"/>
      <c r="CK1" s="71" t="s">
        <v>76</v>
      </c>
      <c r="CL1" s="72">
        <v>248</v>
      </c>
      <c r="CM1" s="73"/>
      <c r="CN1" s="71" t="s">
        <v>77</v>
      </c>
      <c r="CO1" s="72">
        <v>330</v>
      </c>
      <c r="CQ1" s="71" t="s">
        <v>78</v>
      </c>
      <c r="CR1" s="72">
        <v>355</v>
      </c>
      <c r="CT1" s="71" t="s">
        <v>79</v>
      </c>
      <c r="CU1" s="72">
        <v>370</v>
      </c>
      <c r="CW1" s="71" t="s">
        <v>80</v>
      </c>
      <c r="CX1" s="72">
        <v>370</v>
      </c>
      <c r="CZ1" s="71" t="s">
        <v>81</v>
      </c>
      <c r="DA1" s="72">
        <v>250</v>
      </c>
      <c r="DC1" s="71" t="s">
        <v>81</v>
      </c>
      <c r="DD1" s="72">
        <v>250</v>
      </c>
      <c r="DF1" s="71" t="s">
        <v>81</v>
      </c>
      <c r="DG1" s="72">
        <v>245</v>
      </c>
      <c r="DI1" s="71" t="s">
        <v>82</v>
      </c>
      <c r="DJ1" s="72">
        <v>257</v>
      </c>
      <c r="DL1" s="71" t="s">
        <v>83</v>
      </c>
      <c r="DM1" s="72">
        <v>262</v>
      </c>
      <c r="DO1" s="71" t="s">
        <v>84</v>
      </c>
      <c r="DP1" s="72">
        <v>320</v>
      </c>
      <c r="DR1" s="71" t="s">
        <v>85</v>
      </c>
      <c r="DS1" s="72">
        <v>340</v>
      </c>
      <c r="DU1" s="71" t="s">
        <v>86</v>
      </c>
      <c r="DV1" s="72">
        <v>235</v>
      </c>
      <c r="DX1" s="71" t="s">
        <v>87</v>
      </c>
      <c r="DY1" s="72">
        <v>245</v>
      </c>
      <c r="EA1" s="96" t="s">
        <v>88</v>
      </c>
      <c r="EB1" s="97">
        <v>320</v>
      </c>
      <c r="ED1" s="104" t="s">
        <v>89</v>
      </c>
      <c r="EE1" s="105">
        <v>335</v>
      </c>
      <c r="EG1" s="96" t="s">
        <v>88</v>
      </c>
      <c r="EH1" s="97">
        <v>320</v>
      </c>
      <c r="EJ1" s="104" t="s">
        <v>89</v>
      </c>
      <c r="EK1" s="105">
        <v>335</v>
      </c>
      <c r="EM1" s="71" t="s">
        <v>90</v>
      </c>
      <c r="EN1" s="72">
        <v>275</v>
      </c>
      <c r="EP1" s="71" t="s">
        <v>91</v>
      </c>
      <c r="EQ1" s="72">
        <v>297</v>
      </c>
      <c r="ES1" s="71" t="s">
        <v>92</v>
      </c>
      <c r="ET1" s="72">
        <v>310</v>
      </c>
      <c r="EV1" s="110" t="s">
        <v>93</v>
      </c>
      <c r="EW1" s="111">
        <v>320</v>
      </c>
      <c r="EY1" s="110" t="s">
        <v>93</v>
      </c>
      <c r="EZ1" s="111">
        <v>320</v>
      </c>
      <c r="FB1" s="117" t="s">
        <v>94</v>
      </c>
      <c r="FC1" s="118">
        <v>335</v>
      </c>
      <c r="FE1" s="117" t="s">
        <v>94</v>
      </c>
      <c r="FF1" s="118">
        <v>335</v>
      </c>
      <c r="FH1" s="123" t="s">
        <v>95</v>
      </c>
      <c r="FI1" s="124">
        <v>325</v>
      </c>
      <c r="FK1" s="123" t="s">
        <v>96</v>
      </c>
      <c r="FL1" s="124">
        <v>335</v>
      </c>
      <c r="FN1" s="104" t="s">
        <v>97</v>
      </c>
      <c r="FO1" s="105">
        <v>335</v>
      </c>
      <c r="FQ1" s="104" t="s">
        <v>98</v>
      </c>
      <c r="FR1" s="105">
        <v>325</v>
      </c>
      <c r="GF1" s="70"/>
      <c r="GI1" s="70"/>
      <c r="GJ1" s="70"/>
    </row>
    <row r="2" spans="1:193" x14ac:dyDescent="0.3">
      <c r="D2" s="131">
        <v>112</v>
      </c>
      <c r="E2" s="131">
        <v>318</v>
      </c>
      <c r="G2" s="131">
        <v>-50</v>
      </c>
      <c r="H2" s="131">
        <v>330</v>
      </c>
      <c r="I2" s="131" t="s">
        <v>99</v>
      </c>
      <c r="J2" s="131">
        <f>-16500/330</f>
        <v>-50</v>
      </c>
      <c r="K2" s="131">
        <v>329.4</v>
      </c>
      <c r="L2" s="132" t="s">
        <v>100</v>
      </c>
      <c r="M2" s="131">
        <v>-34</v>
      </c>
      <c r="N2" s="133">
        <v>315</v>
      </c>
      <c r="O2" s="132" t="s">
        <v>101</v>
      </c>
      <c r="P2" s="131">
        <v>-103</v>
      </c>
      <c r="Q2" s="131">
        <v>341</v>
      </c>
      <c r="R2" s="131" t="s">
        <v>101</v>
      </c>
      <c r="S2" s="131">
        <v>-100</v>
      </c>
      <c r="T2" s="133">
        <v>328.66</v>
      </c>
      <c r="U2" s="164" t="s">
        <v>102</v>
      </c>
      <c r="V2" s="166">
        <v>-50</v>
      </c>
      <c r="W2" s="167">
        <v>321.81</v>
      </c>
      <c r="X2" s="166" t="s">
        <v>102</v>
      </c>
      <c r="Y2" s="177">
        <v>-100</v>
      </c>
      <c r="Z2" s="178">
        <v>327.7</v>
      </c>
      <c r="AA2" s="177" t="s">
        <v>103</v>
      </c>
      <c r="AB2" s="155">
        <v>-25</v>
      </c>
      <c r="AC2" s="156">
        <v>330</v>
      </c>
      <c r="AD2" s="155"/>
      <c r="AE2" s="196">
        <v>-25</v>
      </c>
      <c r="AF2" s="203">
        <v>330.5</v>
      </c>
      <c r="AH2" s="92">
        <v>316</v>
      </c>
      <c r="AI2" s="92"/>
      <c r="AJ2" s="92">
        <v>316.39999999999998</v>
      </c>
      <c r="AK2" s="92"/>
      <c r="AL2" s="92">
        <v>295</v>
      </c>
      <c r="AM2" s="92"/>
      <c r="AN2" s="92">
        <v>312.10000000000002</v>
      </c>
      <c r="AO2" s="92"/>
      <c r="AP2" s="92">
        <v>304</v>
      </c>
      <c r="AQ2" s="92"/>
      <c r="AR2" s="92">
        <v>318</v>
      </c>
      <c r="AS2" s="92"/>
      <c r="AT2" s="92">
        <v>320.25</v>
      </c>
      <c r="AU2" s="92"/>
      <c r="AV2" s="92">
        <v>320</v>
      </c>
      <c r="AW2" s="92"/>
      <c r="AX2" s="92">
        <v>323.75</v>
      </c>
      <c r="AY2" s="92"/>
      <c r="AZ2" s="92">
        <v>325.39999999999998</v>
      </c>
      <c r="BA2" s="92"/>
      <c r="BB2" s="92">
        <v>326</v>
      </c>
      <c r="BF2" s="73"/>
      <c r="BH2" s="73"/>
      <c r="BI2" s="73"/>
      <c r="BK2" s="73"/>
      <c r="BL2" s="73"/>
      <c r="BN2" s="73"/>
      <c r="BO2" s="73"/>
      <c r="BQ2" s="73"/>
      <c r="BT2" s="73"/>
      <c r="BW2" s="73"/>
      <c r="BZ2" s="73"/>
      <c r="CC2" s="73"/>
      <c r="CF2" s="73"/>
      <c r="CI2" s="73"/>
      <c r="CJ2" s="73"/>
      <c r="CL2" s="73"/>
      <c r="CM2" s="73"/>
      <c r="CO2" s="73"/>
      <c r="CR2" s="73"/>
      <c r="CU2" s="73"/>
      <c r="CX2" s="73"/>
      <c r="DA2" s="73"/>
      <c r="DD2" s="73"/>
      <c r="DG2" s="73"/>
      <c r="DJ2" s="73"/>
      <c r="DM2" s="73"/>
      <c r="DP2" s="73"/>
      <c r="DS2" s="73"/>
      <c r="DV2" s="73"/>
      <c r="DY2" s="73"/>
      <c r="EA2" s="98"/>
      <c r="EB2" s="99"/>
      <c r="ED2" s="106"/>
      <c r="EE2" s="107"/>
      <c r="EG2" s="98"/>
      <c r="EH2" s="99"/>
      <c r="EJ2" s="106"/>
      <c r="EK2" s="107"/>
      <c r="EN2" s="73"/>
      <c r="EQ2" s="73"/>
      <c r="ET2" s="73"/>
      <c r="EV2" s="112"/>
      <c r="EW2" s="113"/>
      <c r="EY2" s="112"/>
      <c r="EZ2" s="113"/>
      <c r="FB2" s="119"/>
      <c r="FC2" s="120"/>
      <c r="FE2" s="119"/>
      <c r="FF2" s="120"/>
      <c r="FH2" s="125"/>
      <c r="FI2" s="126"/>
      <c r="FK2" s="125"/>
      <c r="FL2" s="126"/>
      <c r="FN2" s="106"/>
      <c r="FO2" s="107"/>
      <c r="FQ2" s="106"/>
      <c r="FR2" s="107"/>
      <c r="GF2" s="70"/>
      <c r="GI2" s="70"/>
      <c r="GJ2" s="70"/>
    </row>
    <row r="3" spans="1:193" x14ac:dyDescent="0.3">
      <c r="D3" s="131">
        <v>28</v>
      </c>
      <c r="E3" s="131">
        <v>319</v>
      </c>
      <c r="G3" s="131">
        <v>-70</v>
      </c>
      <c r="H3" s="131">
        <v>303</v>
      </c>
      <c r="I3" s="131" t="s">
        <v>104</v>
      </c>
      <c r="J3" s="134"/>
      <c r="K3" s="134"/>
      <c r="L3" s="132" t="s">
        <v>100</v>
      </c>
      <c r="M3" s="134"/>
      <c r="N3" s="134"/>
      <c r="O3" s="132"/>
      <c r="P3" s="131">
        <v>1</v>
      </c>
      <c r="Q3" s="131">
        <v>345</v>
      </c>
      <c r="R3" s="131" t="s">
        <v>101</v>
      </c>
      <c r="S3" s="135">
        <f>-1348/330</f>
        <v>-4.084848484848485</v>
      </c>
      <c r="T3" s="131">
        <v>329.89</v>
      </c>
      <c r="U3" s="164" t="s">
        <v>102</v>
      </c>
      <c r="V3" s="168">
        <f>-10200/330</f>
        <v>-30.90909090909091</v>
      </c>
      <c r="W3" s="166">
        <v>334.19</v>
      </c>
      <c r="X3" s="166" t="s">
        <v>102</v>
      </c>
      <c r="Y3" s="177">
        <v>-65</v>
      </c>
      <c r="Z3" s="177">
        <v>328.65</v>
      </c>
      <c r="AA3" s="177" t="s">
        <v>103</v>
      </c>
      <c r="AB3" s="155">
        <v>-15</v>
      </c>
      <c r="AC3" s="155">
        <v>338</v>
      </c>
      <c r="AD3" s="155" t="s">
        <v>105</v>
      </c>
      <c r="AE3" s="196">
        <v>-26</v>
      </c>
      <c r="AF3" s="196">
        <v>330</v>
      </c>
      <c r="AH3" s="93" t="e">
        <f>(AH2-C27)*B27*330</f>
        <v>#DIV/0!</v>
      </c>
      <c r="AI3" s="92"/>
      <c r="AJ3" s="93">
        <f>(AJ2-E27)*D27*330</f>
        <v>-85140.000000001353</v>
      </c>
      <c r="AK3" s="92"/>
      <c r="AL3" s="93">
        <f>(AL2-H27)*G27*330</f>
        <v>2030344.8000000014</v>
      </c>
      <c r="AM3" s="92"/>
      <c r="AN3" s="93">
        <f>(AN2-K27)*J27*330</f>
        <v>1216033.4999999974</v>
      </c>
      <c r="AO3" s="92"/>
      <c r="AP3" s="93">
        <f>(AP2-N27)*M27*330</f>
        <v>1003464.0000000005</v>
      </c>
      <c r="AQ3" s="92"/>
      <c r="AR3" s="93">
        <f>(AR2-Q27)*P27*330+13000</f>
        <v>729098.75000000081</v>
      </c>
      <c r="AS3" s="92"/>
      <c r="AT3" s="93">
        <f>(AT2-T27)*S27*330</f>
        <v>687594.72000000416</v>
      </c>
      <c r="AU3" s="93"/>
      <c r="AV3" s="93">
        <f>(AV2-W27)*V27*330</f>
        <v>564663.00000000186</v>
      </c>
      <c r="AW3" s="92"/>
      <c r="AX3" s="93">
        <f>(AX2-Z27)*Y27*330</f>
        <v>272992.50000000122</v>
      </c>
      <c r="AY3" s="93"/>
      <c r="AZ3" s="93">
        <f>(AZ2-AC27)*AB27*330</f>
        <v>132000</v>
      </c>
      <c r="BA3" s="92"/>
      <c r="BB3" s="93">
        <f>(BB2-AF27)*AE27*330</f>
        <v>184496.40000000192</v>
      </c>
      <c r="BD3" s="70" t="s">
        <v>106</v>
      </c>
      <c r="BE3" s="74">
        <f>$AJ$2</f>
        <v>316.39999999999998</v>
      </c>
      <c r="BF3" s="73"/>
      <c r="BG3" s="70" t="s">
        <v>106</v>
      </c>
      <c r="BH3" s="74">
        <f>$AJ$2</f>
        <v>316.39999999999998</v>
      </c>
      <c r="BI3" s="73"/>
      <c r="BJ3" s="70" t="s">
        <v>106</v>
      </c>
      <c r="BK3" s="74">
        <f>$AJ$2</f>
        <v>316.39999999999998</v>
      </c>
      <c r="BL3" s="74"/>
      <c r="BM3" s="70" t="s">
        <v>106</v>
      </c>
      <c r="BN3" s="74">
        <f>$AL$2</f>
        <v>295</v>
      </c>
      <c r="BO3" s="74"/>
      <c r="BP3" s="70" t="s">
        <v>106</v>
      </c>
      <c r="BQ3" s="74">
        <f>$AL$2</f>
        <v>295</v>
      </c>
      <c r="BS3" s="70" t="s">
        <v>106</v>
      </c>
      <c r="BT3" s="74">
        <f>$AL$2</f>
        <v>295</v>
      </c>
      <c r="BV3" s="70" t="s">
        <v>106</v>
      </c>
      <c r="BW3" s="74">
        <f>$AN$2</f>
        <v>312.10000000000002</v>
      </c>
      <c r="BY3" s="70" t="s">
        <v>106</v>
      </c>
      <c r="BZ3" s="74">
        <f>$AN$2</f>
        <v>312.10000000000002</v>
      </c>
      <c r="CB3" s="70" t="s">
        <v>106</v>
      </c>
      <c r="CC3" s="74">
        <f>$AN$2</f>
        <v>312.10000000000002</v>
      </c>
      <c r="CE3" s="70" t="s">
        <v>106</v>
      </c>
      <c r="CF3" s="74">
        <f>AP2</f>
        <v>304</v>
      </c>
      <c r="CH3" s="70" t="s">
        <v>106</v>
      </c>
      <c r="CI3" s="74">
        <f>$AP$2</f>
        <v>304</v>
      </c>
      <c r="CJ3" s="74"/>
      <c r="CK3" s="70" t="s">
        <v>106</v>
      </c>
      <c r="CL3" s="74">
        <f>$AR$2</f>
        <v>318</v>
      </c>
      <c r="CM3" s="73"/>
      <c r="CN3" s="70" t="s">
        <v>106</v>
      </c>
      <c r="CO3" s="74">
        <f>$AR$2</f>
        <v>318</v>
      </c>
      <c r="CQ3" s="70" t="s">
        <v>106</v>
      </c>
      <c r="CR3" s="74">
        <f>$AR$2</f>
        <v>318</v>
      </c>
      <c r="CT3" s="70" t="s">
        <v>106</v>
      </c>
      <c r="CU3" s="74">
        <f>$AR$2</f>
        <v>318</v>
      </c>
      <c r="CW3" s="70" t="s">
        <v>106</v>
      </c>
      <c r="CX3" s="74">
        <f>$AR$2</f>
        <v>318</v>
      </c>
      <c r="CZ3" s="70" t="s">
        <v>106</v>
      </c>
      <c r="DA3" s="74">
        <f>$AR$2</f>
        <v>318</v>
      </c>
      <c r="DC3" s="70" t="s">
        <v>106</v>
      </c>
      <c r="DD3" s="74">
        <f>$AR$2</f>
        <v>318</v>
      </c>
      <c r="DF3" s="70" t="s">
        <v>106</v>
      </c>
      <c r="DG3" s="74">
        <f>$AR$2</f>
        <v>318</v>
      </c>
      <c r="DI3" s="70" t="s">
        <v>106</v>
      </c>
      <c r="DJ3" s="74">
        <v>260</v>
      </c>
      <c r="DL3" s="70" t="s">
        <v>106</v>
      </c>
      <c r="DM3" s="74">
        <f>$AR$2</f>
        <v>318</v>
      </c>
      <c r="DO3" s="70" t="s">
        <v>106</v>
      </c>
      <c r="DP3" s="74">
        <f>$AT$2</f>
        <v>320.25</v>
      </c>
      <c r="DR3" s="70" t="s">
        <v>106</v>
      </c>
      <c r="DS3" s="74">
        <f>$AT$2</f>
        <v>320.25</v>
      </c>
      <c r="DU3" s="70" t="s">
        <v>106</v>
      </c>
      <c r="DV3" s="74">
        <f>$AT$2</f>
        <v>320.25</v>
      </c>
      <c r="DX3" s="70" t="s">
        <v>106</v>
      </c>
      <c r="DY3" s="74">
        <f>$AT$2</f>
        <v>320.25</v>
      </c>
      <c r="EA3" s="98" t="s">
        <v>106</v>
      </c>
      <c r="EB3" s="100">
        <f>$AV$2</f>
        <v>320</v>
      </c>
      <c r="ED3" s="106" t="s">
        <v>106</v>
      </c>
      <c r="EE3" s="108">
        <f>$AV$2</f>
        <v>320</v>
      </c>
      <c r="EG3" s="98" t="s">
        <v>106</v>
      </c>
      <c r="EH3" s="100">
        <f>$AV$2</f>
        <v>320</v>
      </c>
      <c r="EJ3" s="106" t="s">
        <v>106</v>
      </c>
      <c r="EK3" s="108">
        <f>$AV$2</f>
        <v>320</v>
      </c>
      <c r="EM3" s="70" t="s">
        <v>106</v>
      </c>
      <c r="EN3" s="74">
        <f>$AV$2</f>
        <v>320</v>
      </c>
      <c r="EP3" s="70" t="s">
        <v>106</v>
      </c>
      <c r="EQ3" s="74">
        <f>$AV$2</f>
        <v>320</v>
      </c>
      <c r="ES3" s="70" t="s">
        <v>106</v>
      </c>
      <c r="ET3" s="74">
        <f>$AV$2</f>
        <v>320</v>
      </c>
      <c r="EV3" s="112" t="s">
        <v>106</v>
      </c>
      <c r="EW3" s="114">
        <f>$AX$2</f>
        <v>323.75</v>
      </c>
      <c r="EY3" s="112" t="s">
        <v>106</v>
      </c>
      <c r="EZ3" s="114">
        <f>$AX$2</f>
        <v>323.75</v>
      </c>
      <c r="FB3" s="119" t="s">
        <v>106</v>
      </c>
      <c r="FC3" s="121">
        <f>$AX$2</f>
        <v>323.75</v>
      </c>
      <c r="FE3" s="119" t="s">
        <v>106</v>
      </c>
      <c r="FF3" s="121">
        <f>$AX$2</f>
        <v>323.75</v>
      </c>
      <c r="FH3" s="125" t="s">
        <v>106</v>
      </c>
      <c r="FI3" s="127">
        <f>$AX$2</f>
        <v>323.75</v>
      </c>
      <c r="FK3" s="125" t="s">
        <v>106</v>
      </c>
      <c r="FL3" s="127">
        <f>$AX$2</f>
        <v>323.75</v>
      </c>
      <c r="FN3" s="106" t="s">
        <v>106</v>
      </c>
      <c r="FO3" s="108">
        <f>$BB$2</f>
        <v>326</v>
      </c>
      <c r="FQ3" s="106" t="s">
        <v>106</v>
      </c>
      <c r="FR3" s="108">
        <f>$BB$2</f>
        <v>326</v>
      </c>
      <c r="GF3" s="70"/>
      <c r="GI3" s="70"/>
      <c r="GJ3" s="70"/>
    </row>
    <row r="4" spans="1:193" x14ac:dyDescent="0.3">
      <c r="D4" s="131">
        <v>60</v>
      </c>
      <c r="E4" s="131">
        <v>316.5</v>
      </c>
      <c r="G4" s="131">
        <v>-100</v>
      </c>
      <c r="H4" s="131">
        <f>330-5.53</f>
        <v>324.47000000000003</v>
      </c>
      <c r="I4" s="131" t="s">
        <v>107</v>
      </c>
      <c r="J4" s="131">
        <f>-6270/330</f>
        <v>-19</v>
      </c>
      <c r="K4" s="131">
        <v>324.25</v>
      </c>
      <c r="L4" s="132" t="s">
        <v>100</v>
      </c>
      <c r="M4" s="131">
        <v>-50</v>
      </c>
      <c r="N4" s="131">
        <f>330-6.61</f>
        <v>323.39</v>
      </c>
      <c r="O4" s="131" t="s">
        <v>100</v>
      </c>
      <c r="P4" s="131">
        <v>14</v>
      </c>
      <c r="Q4" s="131">
        <v>353</v>
      </c>
      <c r="R4" s="131" t="s">
        <v>101</v>
      </c>
      <c r="S4" s="131">
        <v>-50</v>
      </c>
      <c r="T4" s="131">
        <v>336.3</v>
      </c>
      <c r="U4" s="164" t="s">
        <v>102</v>
      </c>
      <c r="V4" s="166">
        <v>-75</v>
      </c>
      <c r="W4" s="166">
        <v>324</v>
      </c>
      <c r="X4" s="166" t="s">
        <v>102</v>
      </c>
      <c r="Y4" s="177">
        <v>-35</v>
      </c>
      <c r="Z4" s="177">
        <v>327</v>
      </c>
      <c r="AA4" s="177" t="s">
        <v>108</v>
      </c>
      <c r="AB4" s="155">
        <v>-60</v>
      </c>
      <c r="AC4" s="155">
        <v>327</v>
      </c>
      <c r="AD4" s="155"/>
      <c r="AE4" s="196">
        <v>-25</v>
      </c>
      <c r="AF4" s="196">
        <v>329</v>
      </c>
      <c r="AH4" s="94"/>
      <c r="AI4" s="92"/>
      <c r="AJ4" s="95" t="s">
        <v>109</v>
      </c>
      <c r="AK4" s="92"/>
      <c r="AL4" s="94"/>
      <c r="AM4" s="92"/>
      <c r="AN4" s="95"/>
      <c r="AO4" s="92"/>
      <c r="AP4" s="95"/>
      <c r="AQ4" s="92"/>
      <c r="AR4" s="94"/>
      <c r="AS4" s="92"/>
      <c r="AT4" s="94"/>
      <c r="AU4" s="92"/>
      <c r="AV4" s="92"/>
      <c r="AW4" s="92"/>
      <c r="AX4" s="92"/>
      <c r="AY4" s="92"/>
      <c r="AZ4" s="94"/>
      <c r="BA4" s="92"/>
      <c r="BB4" s="92"/>
      <c r="BE4" s="70"/>
      <c r="EA4" s="98"/>
      <c r="EB4" s="98"/>
      <c r="ED4" s="106"/>
      <c r="EE4" s="106"/>
      <c r="EG4" s="98"/>
      <c r="EH4" s="98"/>
      <c r="EJ4" s="106"/>
      <c r="EK4" s="106"/>
      <c r="EV4" s="112"/>
      <c r="EW4" s="112"/>
      <c r="EY4" s="112"/>
      <c r="EZ4" s="112"/>
      <c r="FB4" s="119"/>
      <c r="FC4" s="119"/>
      <c r="FE4" s="119"/>
      <c r="FF4" s="119"/>
      <c r="FH4" s="125"/>
      <c r="FI4" s="125"/>
      <c r="FK4" s="125"/>
      <c r="FL4" s="125"/>
      <c r="FN4" s="106"/>
      <c r="FO4" s="106"/>
      <c r="FQ4" s="106"/>
      <c r="FR4" s="106"/>
      <c r="FY4" s="204" t="s">
        <v>110</v>
      </c>
      <c r="FZ4" s="204"/>
      <c r="GB4" s="204" t="s">
        <v>111</v>
      </c>
      <c r="GC4" s="204"/>
      <c r="GF4" s="204" t="s">
        <v>112</v>
      </c>
      <c r="GG4" s="204"/>
      <c r="GH4" s="204"/>
      <c r="GI4" s="204"/>
      <c r="GJ4" s="204"/>
      <c r="GK4" s="204"/>
    </row>
    <row r="5" spans="1:193" ht="14.4" thickBot="1" x14ac:dyDescent="0.35">
      <c r="G5" s="131">
        <v>-25</v>
      </c>
      <c r="H5" s="131">
        <f>330.4-4.9</f>
        <v>325.5</v>
      </c>
      <c r="I5" s="131" t="s">
        <v>107</v>
      </c>
      <c r="J5" s="131">
        <f>-4290/330</f>
        <v>-13</v>
      </c>
      <c r="K5" s="131">
        <v>319</v>
      </c>
      <c r="L5" s="132" t="s">
        <v>100</v>
      </c>
      <c r="M5" s="131">
        <v>14</v>
      </c>
      <c r="N5" s="131">
        <v>308.7</v>
      </c>
      <c r="O5" s="131" t="s">
        <v>101</v>
      </c>
      <c r="P5" s="131">
        <v>25</v>
      </c>
      <c r="Q5" s="136">
        <v>338</v>
      </c>
      <c r="R5" s="131" t="s">
        <v>101</v>
      </c>
      <c r="S5" s="131">
        <v>-35</v>
      </c>
      <c r="T5" s="131">
        <v>330</v>
      </c>
      <c r="U5" s="164" t="s">
        <v>102</v>
      </c>
      <c r="V5" s="166">
        <v>-7</v>
      </c>
      <c r="W5" s="166">
        <v>328</v>
      </c>
      <c r="X5" s="166" t="s">
        <v>113</v>
      </c>
      <c r="Y5" s="177"/>
      <c r="Z5" s="177"/>
      <c r="AA5" s="177" t="s">
        <v>114</v>
      </c>
      <c r="AB5" s="155"/>
      <c r="AC5" s="155"/>
      <c r="AD5" s="155"/>
      <c r="AE5" s="196">
        <v>-49</v>
      </c>
      <c r="AF5" s="196">
        <v>329.42</v>
      </c>
      <c r="AN5" s="73"/>
      <c r="BD5" s="70" t="s">
        <v>115</v>
      </c>
      <c r="BE5" s="73">
        <v>330</v>
      </c>
      <c r="BF5" s="73"/>
      <c r="BG5" s="70" t="s">
        <v>115</v>
      </c>
      <c r="BH5" s="73">
        <v>330</v>
      </c>
      <c r="BI5" s="73"/>
      <c r="BJ5" s="70" t="s">
        <v>115</v>
      </c>
      <c r="BK5" s="73">
        <v>330</v>
      </c>
      <c r="BL5" s="73"/>
      <c r="BM5" s="70" t="s">
        <v>115</v>
      </c>
      <c r="BN5" s="73">
        <v>320</v>
      </c>
      <c r="BO5" s="73"/>
      <c r="BP5" s="70" t="s">
        <v>115</v>
      </c>
      <c r="BQ5" s="73">
        <v>330</v>
      </c>
      <c r="BS5" s="70" t="s">
        <v>115</v>
      </c>
      <c r="BT5" s="73">
        <v>330</v>
      </c>
      <c r="BV5" s="70" t="s">
        <v>115</v>
      </c>
      <c r="BW5" s="73">
        <v>330</v>
      </c>
      <c r="BY5" s="70" t="s">
        <v>115</v>
      </c>
      <c r="BZ5" s="73">
        <v>330</v>
      </c>
      <c r="CB5" s="70" t="s">
        <v>115</v>
      </c>
      <c r="CC5" s="73">
        <v>330</v>
      </c>
      <c r="CE5" s="70" t="s">
        <v>115</v>
      </c>
      <c r="CF5" s="73">
        <v>330</v>
      </c>
      <c r="CH5" s="70" t="s">
        <v>115</v>
      </c>
      <c r="CI5" s="73">
        <v>330</v>
      </c>
      <c r="CJ5" s="73"/>
      <c r="CK5" s="70" t="s">
        <v>115</v>
      </c>
      <c r="CL5" s="73">
        <v>330</v>
      </c>
      <c r="CM5" s="73"/>
      <c r="CN5" s="70" t="s">
        <v>115</v>
      </c>
      <c r="CO5" s="73">
        <v>330</v>
      </c>
      <c r="CQ5" s="70" t="s">
        <v>115</v>
      </c>
      <c r="CR5" s="73">
        <v>330</v>
      </c>
      <c r="CT5" s="70" t="s">
        <v>115</v>
      </c>
      <c r="CU5" s="73">
        <v>330</v>
      </c>
      <c r="CW5" s="70" t="s">
        <v>115</v>
      </c>
      <c r="CX5" s="73">
        <v>330</v>
      </c>
      <c r="CZ5" s="70" t="s">
        <v>115</v>
      </c>
      <c r="DA5" s="73">
        <v>330</v>
      </c>
      <c r="DC5" s="70" t="s">
        <v>115</v>
      </c>
      <c r="DD5" s="73">
        <v>330</v>
      </c>
      <c r="DF5" s="70" t="s">
        <v>115</v>
      </c>
      <c r="DG5" s="73">
        <v>330</v>
      </c>
      <c r="DI5" s="70" t="s">
        <v>115</v>
      </c>
      <c r="DJ5" s="73">
        <v>330</v>
      </c>
      <c r="DL5" s="70" t="s">
        <v>115</v>
      </c>
      <c r="DM5" s="73">
        <v>330</v>
      </c>
      <c r="DO5" s="70" t="s">
        <v>115</v>
      </c>
      <c r="DP5" s="73">
        <v>330</v>
      </c>
      <c r="DR5" s="70" t="s">
        <v>115</v>
      </c>
      <c r="DS5" s="73">
        <v>330</v>
      </c>
      <c r="DU5" s="70" t="s">
        <v>115</v>
      </c>
      <c r="DV5" s="73">
        <v>330</v>
      </c>
      <c r="DX5" s="70" t="s">
        <v>115</v>
      </c>
      <c r="DY5" s="73">
        <v>330</v>
      </c>
      <c r="EA5" s="98" t="s">
        <v>115</v>
      </c>
      <c r="EB5" s="99">
        <v>330</v>
      </c>
      <c r="ED5" s="106" t="s">
        <v>115</v>
      </c>
      <c r="EE5" s="107">
        <v>330</v>
      </c>
      <c r="EG5" s="98" t="s">
        <v>115</v>
      </c>
      <c r="EH5" s="99">
        <v>330</v>
      </c>
      <c r="EJ5" s="106" t="s">
        <v>115</v>
      </c>
      <c r="EK5" s="107">
        <v>330</v>
      </c>
      <c r="EM5" s="70" t="s">
        <v>115</v>
      </c>
      <c r="EN5" s="73">
        <v>330</v>
      </c>
      <c r="EP5" s="70" t="s">
        <v>115</v>
      </c>
      <c r="EQ5" s="73">
        <v>330</v>
      </c>
      <c r="ES5" s="70" t="s">
        <v>115</v>
      </c>
      <c r="ET5" s="73">
        <v>330</v>
      </c>
      <c r="EV5" s="112" t="s">
        <v>115</v>
      </c>
      <c r="EW5" s="113">
        <v>330</v>
      </c>
      <c r="EY5" s="112" t="s">
        <v>115</v>
      </c>
      <c r="EZ5" s="113">
        <v>330</v>
      </c>
      <c r="FB5" s="119" t="s">
        <v>115</v>
      </c>
      <c r="FC5" s="120">
        <v>330</v>
      </c>
      <c r="FE5" s="119" t="s">
        <v>115</v>
      </c>
      <c r="FF5" s="120">
        <v>330</v>
      </c>
      <c r="FH5" s="125" t="s">
        <v>115</v>
      </c>
      <c r="FI5" s="126">
        <v>330</v>
      </c>
      <c r="FK5" s="125" t="s">
        <v>115</v>
      </c>
      <c r="FL5" s="126">
        <v>330</v>
      </c>
      <c r="FN5" s="106" t="s">
        <v>115</v>
      </c>
      <c r="FO5" s="107">
        <v>330</v>
      </c>
      <c r="FQ5" s="106" t="s">
        <v>115</v>
      </c>
      <c r="FR5" s="107">
        <v>330</v>
      </c>
      <c r="FY5" s="70" t="s">
        <v>116</v>
      </c>
      <c r="FZ5" s="73">
        <f>12000+3000+2000</f>
        <v>17000</v>
      </c>
      <c r="GB5" s="70" t="s">
        <v>117</v>
      </c>
      <c r="GC5" s="73">
        <f>(FZ6+FZ9)/330</f>
        <v>1087.121212121212</v>
      </c>
      <c r="GD5" s="73"/>
      <c r="GE5" s="73"/>
      <c r="GF5" s="79" t="s">
        <v>118</v>
      </c>
      <c r="GG5" s="79" t="s">
        <v>119</v>
      </c>
      <c r="GH5" s="79" t="s">
        <v>120</v>
      </c>
      <c r="GI5" s="79" t="s">
        <v>121</v>
      </c>
      <c r="GJ5" s="79" t="s">
        <v>122</v>
      </c>
      <c r="GK5" s="79" t="s">
        <v>123</v>
      </c>
    </row>
    <row r="6" spans="1:193" ht="14.4" thickTop="1" x14ac:dyDescent="0.3">
      <c r="G6" s="131">
        <v>-45</v>
      </c>
      <c r="H6" s="131">
        <v>296.5</v>
      </c>
      <c r="I6" s="131" t="s">
        <v>124</v>
      </c>
      <c r="J6" s="134"/>
      <c r="K6" s="134"/>
      <c r="L6" s="132" t="s">
        <v>125</v>
      </c>
      <c r="M6" s="131">
        <v>20</v>
      </c>
      <c r="N6" s="131">
        <v>324</v>
      </c>
      <c r="O6" s="131" t="s">
        <v>101</v>
      </c>
      <c r="P6" s="131">
        <v>25</v>
      </c>
      <c r="Q6" s="131">
        <v>334</v>
      </c>
      <c r="R6" s="131" t="s">
        <v>101</v>
      </c>
      <c r="S6" s="131">
        <v>-7</v>
      </c>
      <c r="T6" s="136">
        <v>323</v>
      </c>
      <c r="U6" s="164" t="s">
        <v>113</v>
      </c>
      <c r="V6" s="166">
        <v>-25</v>
      </c>
      <c r="W6" s="169">
        <v>330.5</v>
      </c>
      <c r="X6" s="166" t="s">
        <v>126</v>
      </c>
      <c r="Y6" s="177"/>
      <c r="Z6" s="179"/>
      <c r="AA6" s="177" t="s">
        <v>127</v>
      </c>
      <c r="AB6" s="155"/>
      <c r="AC6" s="158"/>
      <c r="AD6" s="155"/>
      <c r="AE6" s="196">
        <v>-25</v>
      </c>
      <c r="AF6" s="202">
        <v>330</v>
      </c>
      <c r="AG6" s="78"/>
      <c r="AJ6" s="73"/>
      <c r="AN6" s="73"/>
      <c r="AT6" s="73"/>
      <c r="BE6" s="70"/>
      <c r="EA6" s="98"/>
      <c r="EB6" s="98"/>
      <c r="ED6" s="106"/>
      <c r="EE6" s="106"/>
      <c r="EG6" s="98"/>
      <c r="EH6" s="98"/>
      <c r="EJ6" s="106"/>
      <c r="EK6" s="106"/>
      <c r="EV6" s="112"/>
      <c r="EW6" s="112"/>
      <c r="EY6" s="112"/>
      <c r="EZ6" s="112"/>
      <c r="FB6" s="119"/>
      <c r="FC6" s="119"/>
      <c r="FE6" s="119"/>
      <c r="FF6" s="119"/>
      <c r="FH6" s="125"/>
      <c r="FI6" s="125"/>
      <c r="FK6" s="125"/>
      <c r="FL6" s="125"/>
      <c r="FN6" s="106"/>
      <c r="FO6" s="106"/>
      <c r="FQ6" s="106"/>
      <c r="FR6" s="106"/>
      <c r="FY6" s="70" t="s">
        <v>128</v>
      </c>
      <c r="FZ6" s="73">
        <f>FZ5*17.5</f>
        <v>297500</v>
      </c>
      <c r="GC6" s="73"/>
      <c r="GF6" s="80">
        <v>45425</v>
      </c>
      <c r="GG6" s="70" t="s">
        <v>129</v>
      </c>
      <c r="GH6" s="70">
        <v>0</v>
      </c>
      <c r="GI6" s="73">
        <v>100</v>
      </c>
      <c r="GJ6" s="73">
        <f>GH6*GI6</f>
        <v>0</v>
      </c>
      <c r="GK6" s="70" t="s">
        <v>130</v>
      </c>
    </row>
    <row r="7" spans="1:193" x14ac:dyDescent="0.3">
      <c r="B7" s="136"/>
      <c r="E7" s="136"/>
      <c r="G7" s="131">
        <v>-8</v>
      </c>
      <c r="H7" s="136">
        <v>296.62</v>
      </c>
      <c r="J7" s="131">
        <v>-51</v>
      </c>
      <c r="K7" s="136">
        <v>327.8696078431372</v>
      </c>
      <c r="L7" s="132" t="s">
        <v>100</v>
      </c>
      <c r="M7" s="131">
        <v>-45</v>
      </c>
      <c r="N7" s="136">
        <f>K16+7.5</f>
        <v>330.5</v>
      </c>
      <c r="O7" s="136" t="s">
        <v>100</v>
      </c>
      <c r="P7" s="131">
        <v>25</v>
      </c>
      <c r="Q7" s="131">
        <v>332</v>
      </c>
      <c r="R7" s="131" t="s">
        <v>101</v>
      </c>
      <c r="S7" s="135">
        <f>-20000/330</f>
        <v>-60.606060606060609</v>
      </c>
      <c r="T7" s="131">
        <v>319</v>
      </c>
      <c r="U7" s="164" t="s">
        <v>102</v>
      </c>
      <c r="V7" s="166">
        <v>-25</v>
      </c>
      <c r="W7" s="166">
        <v>332.5</v>
      </c>
      <c r="X7" s="166" t="s">
        <v>126</v>
      </c>
      <c r="Y7" s="177"/>
      <c r="Z7" s="177"/>
      <c r="AA7" s="177">
        <v>324.3</v>
      </c>
      <c r="AB7" s="155"/>
      <c r="AC7" s="155"/>
      <c r="AD7" s="155"/>
      <c r="AE7" s="196"/>
      <c r="AF7" s="196"/>
      <c r="AG7" s="78"/>
      <c r="AN7" s="73"/>
      <c r="BD7" s="70" t="s">
        <v>117</v>
      </c>
      <c r="BE7" s="70">
        <v>-298</v>
      </c>
      <c r="BG7" s="70" t="s">
        <v>117</v>
      </c>
      <c r="BH7" s="70">
        <v>-25</v>
      </c>
      <c r="BJ7" s="70" t="s">
        <v>117</v>
      </c>
      <c r="BK7" s="70">
        <v>-161</v>
      </c>
      <c r="BM7" s="70" t="s">
        <v>117</v>
      </c>
      <c r="BN7" s="70">
        <v>-150</v>
      </c>
      <c r="BP7" s="70" t="s">
        <v>117</v>
      </c>
      <c r="BQ7" s="70">
        <v>-55</v>
      </c>
      <c r="BS7" s="70" t="s">
        <v>117</v>
      </c>
      <c r="BT7" s="70">
        <v>-150</v>
      </c>
      <c r="BV7" s="70" t="s">
        <v>117</v>
      </c>
      <c r="BW7" s="70">
        <v>-200</v>
      </c>
      <c r="BY7" s="70" t="s">
        <v>117</v>
      </c>
      <c r="BZ7" s="70">
        <v>-100</v>
      </c>
      <c r="CB7" s="70" t="s">
        <v>117</v>
      </c>
      <c r="CC7" s="70">
        <v>-100</v>
      </c>
      <c r="CE7" s="70" t="s">
        <v>117</v>
      </c>
      <c r="CF7" s="70">
        <v>-100</v>
      </c>
      <c r="CH7" s="70" t="s">
        <v>117</v>
      </c>
      <c r="CI7" s="70">
        <v>-100</v>
      </c>
      <c r="CK7" s="70" t="s">
        <v>117</v>
      </c>
      <c r="CL7" s="70">
        <v>0</v>
      </c>
      <c r="CN7" s="70" t="s">
        <v>117</v>
      </c>
      <c r="CO7" s="70">
        <v>-164</v>
      </c>
      <c r="CQ7" s="70" t="s">
        <v>117</v>
      </c>
      <c r="CR7" s="70">
        <v>400</v>
      </c>
      <c r="CT7" s="70" t="s">
        <v>117</v>
      </c>
      <c r="CU7" s="81">
        <v>0</v>
      </c>
      <c r="CW7" s="70" t="s">
        <v>117</v>
      </c>
      <c r="CX7" s="70">
        <v>-800</v>
      </c>
      <c r="CZ7" s="70" t="s">
        <v>117</v>
      </c>
      <c r="DA7" s="70">
        <v>0</v>
      </c>
      <c r="DC7" s="70" t="s">
        <v>117</v>
      </c>
      <c r="DD7" s="70">
        <v>0</v>
      </c>
      <c r="DF7" s="70" t="s">
        <v>117</v>
      </c>
      <c r="DG7" s="70">
        <v>0</v>
      </c>
      <c r="DI7" s="70" t="s">
        <v>117</v>
      </c>
      <c r="DJ7" s="81">
        <v>0</v>
      </c>
      <c r="DL7" s="70" t="s">
        <v>117</v>
      </c>
      <c r="DM7" s="70">
        <v>0</v>
      </c>
      <c r="DO7" s="70" t="s">
        <v>117</v>
      </c>
      <c r="DP7" s="81">
        <v>-50</v>
      </c>
      <c r="DR7" s="70" t="s">
        <v>117</v>
      </c>
      <c r="DS7" s="70">
        <v>-50</v>
      </c>
      <c r="DU7" s="70" t="s">
        <v>117</v>
      </c>
      <c r="DV7" s="81">
        <v>0</v>
      </c>
      <c r="DX7" s="70" t="s">
        <v>117</v>
      </c>
      <c r="DY7" s="70">
        <v>0</v>
      </c>
      <c r="EA7" s="98" t="s">
        <v>117</v>
      </c>
      <c r="EB7" s="101">
        <v>-100</v>
      </c>
      <c r="ED7" s="106" t="s">
        <v>117</v>
      </c>
      <c r="EE7" s="106">
        <v>-100</v>
      </c>
      <c r="EG7" s="98" t="s">
        <v>117</v>
      </c>
      <c r="EH7" s="101">
        <v>-50</v>
      </c>
      <c r="EJ7" s="106" t="s">
        <v>117</v>
      </c>
      <c r="EK7" s="106">
        <v>-50</v>
      </c>
      <c r="EM7" s="70" t="s">
        <v>117</v>
      </c>
      <c r="EN7" s="81">
        <v>0</v>
      </c>
      <c r="EP7" s="70" t="s">
        <v>117</v>
      </c>
      <c r="EQ7" s="81">
        <v>0</v>
      </c>
      <c r="ES7" s="70" t="s">
        <v>117</v>
      </c>
      <c r="ET7" s="70">
        <v>0</v>
      </c>
      <c r="EV7" s="112" t="s">
        <v>117</v>
      </c>
      <c r="EW7" s="115">
        <v>-100</v>
      </c>
      <c r="EY7" s="112" t="s">
        <v>117</v>
      </c>
      <c r="EZ7" s="115">
        <v>-50</v>
      </c>
      <c r="FB7" s="119" t="s">
        <v>117</v>
      </c>
      <c r="FC7" s="119">
        <v>-100</v>
      </c>
      <c r="FE7" s="119" t="s">
        <v>117</v>
      </c>
      <c r="FF7" s="119">
        <v>-50</v>
      </c>
      <c r="FH7" s="125" t="s">
        <v>117</v>
      </c>
      <c r="FI7" s="128">
        <v>-100</v>
      </c>
      <c r="FK7" s="125" t="s">
        <v>117</v>
      </c>
      <c r="FL7" s="128">
        <v>-100</v>
      </c>
      <c r="FN7" s="106" t="s">
        <v>117</v>
      </c>
      <c r="FO7" s="106">
        <v>-100</v>
      </c>
      <c r="FQ7" s="106" t="s">
        <v>117</v>
      </c>
      <c r="FR7" s="130">
        <v>-100</v>
      </c>
      <c r="GB7" s="204" t="s">
        <v>131</v>
      </c>
      <c r="GC7" s="204"/>
    </row>
    <row r="8" spans="1:193" x14ac:dyDescent="0.3">
      <c r="G8" s="131">
        <v>-2</v>
      </c>
      <c r="H8" s="131">
        <v>294.55</v>
      </c>
      <c r="J8" s="134"/>
      <c r="K8" s="134"/>
      <c r="L8" s="132" t="s">
        <v>125</v>
      </c>
      <c r="M8" s="131">
        <v>190</v>
      </c>
      <c r="N8" s="131">
        <v>315.58999999999997</v>
      </c>
      <c r="O8" s="136" t="s">
        <v>101</v>
      </c>
      <c r="P8" s="131">
        <f>-8580/330</f>
        <v>-26</v>
      </c>
      <c r="Q8" s="131">
        <v>334.85</v>
      </c>
      <c r="R8" s="132" t="s">
        <v>100</v>
      </c>
      <c r="S8" s="131">
        <v>-29</v>
      </c>
      <c r="T8" s="131">
        <v>325</v>
      </c>
      <c r="U8" s="164"/>
      <c r="V8" s="166">
        <v>50</v>
      </c>
      <c r="W8" s="166">
        <v>315</v>
      </c>
      <c r="X8" s="166"/>
      <c r="Y8" s="177"/>
      <c r="Z8" s="177"/>
      <c r="AA8" s="177"/>
      <c r="AB8" s="155"/>
      <c r="AC8" s="155"/>
      <c r="AD8" s="155"/>
      <c r="AE8" s="196"/>
      <c r="AF8" s="196"/>
      <c r="AN8" s="73"/>
      <c r="BE8" s="70"/>
      <c r="EA8" s="98"/>
      <c r="EB8" s="98"/>
      <c r="ED8" s="106"/>
      <c r="EE8" s="106"/>
      <c r="EG8" s="98"/>
      <c r="EH8" s="98"/>
      <c r="EJ8" s="106"/>
      <c r="EK8" s="106"/>
      <c r="EV8" s="112"/>
      <c r="EW8" s="112"/>
      <c r="EY8" s="112"/>
      <c r="EZ8" s="112"/>
      <c r="FB8" s="119"/>
      <c r="FC8" s="119"/>
      <c r="FE8" s="119"/>
      <c r="FF8" s="119"/>
      <c r="FH8" s="125"/>
      <c r="FI8" s="125"/>
      <c r="FK8" s="125"/>
      <c r="FL8" s="125"/>
      <c r="FN8" s="106"/>
      <c r="FO8" s="106"/>
      <c r="FQ8" s="106"/>
      <c r="FR8" s="106"/>
      <c r="FY8" s="70" t="s">
        <v>132</v>
      </c>
      <c r="FZ8" s="73">
        <v>3500</v>
      </c>
      <c r="GB8" s="70" t="s">
        <v>117</v>
      </c>
      <c r="GC8" s="73">
        <f>M27+P27+S27-54+G27+300</f>
        <v>-664.9787878787879</v>
      </c>
    </row>
    <row r="9" spans="1:193" x14ac:dyDescent="0.3">
      <c r="G9" s="131">
        <v>-50</v>
      </c>
      <c r="H9" s="131">
        <v>295.62</v>
      </c>
      <c r="J9" s="131">
        <v>-3</v>
      </c>
      <c r="K9" s="131">
        <v>326</v>
      </c>
      <c r="L9" s="132" t="s">
        <v>101</v>
      </c>
      <c r="M9" s="131">
        <v>-50</v>
      </c>
      <c r="N9" s="131">
        <v>319</v>
      </c>
      <c r="O9" s="131" t="s">
        <v>101</v>
      </c>
      <c r="P9" s="131">
        <f>-990/330</f>
        <v>-3</v>
      </c>
      <c r="Q9" s="131">
        <v>337.25</v>
      </c>
      <c r="R9" s="132" t="s">
        <v>100</v>
      </c>
      <c r="S9" s="131">
        <v>29</v>
      </c>
      <c r="T9" s="131">
        <v>321</v>
      </c>
      <c r="U9" s="164"/>
      <c r="V9" s="166">
        <v>-50</v>
      </c>
      <c r="W9" s="166">
        <v>320</v>
      </c>
      <c r="X9" s="166"/>
      <c r="Y9" s="177"/>
      <c r="Z9" s="177"/>
      <c r="AA9" s="177"/>
      <c r="AB9" s="155"/>
      <c r="AC9" s="155"/>
      <c r="AD9" s="155"/>
      <c r="AE9" s="196"/>
      <c r="AF9" s="196"/>
      <c r="AN9" s="73"/>
      <c r="BD9" s="70" t="s">
        <v>133</v>
      </c>
      <c r="BE9" s="73">
        <f>IF(BE3&gt;BE1,(BE3-BE1)*BE7*330+BE11,BE11)</f>
        <v>133576.40000000221</v>
      </c>
      <c r="BF9" s="73"/>
      <c r="BG9" s="70" t="s">
        <v>133</v>
      </c>
      <c r="BH9" s="73">
        <f>IF(BH3&gt;BH1,(BH3-BH1)*BH7*330+BH11,BH11)</f>
        <v>15675.000000000187</v>
      </c>
      <c r="BI9" s="73"/>
      <c r="BJ9" s="70" t="s">
        <v>133</v>
      </c>
      <c r="BK9" s="73">
        <f>IF(BK3&gt;BK1,BK11,(BK1-BK3)*BK7*330+BK11)</f>
        <v>340032</v>
      </c>
      <c r="BL9" s="73"/>
      <c r="BM9" s="70" t="s">
        <v>133</v>
      </c>
      <c r="BN9" s="73">
        <f>IF(BN3&gt;BN1,(BN3-BN1)*BN7*330+BN11,BN11)</f>
        <v>278400</v>
      </c>
      <c r="BO9" s="73"/>
      <c r="BP9" s="70" t="s">
        <v>133</v>
      </c>
      <c r="BQ9" s="73">
        <f>IF(BQ3&gt;BQ1,BQ11,(BQ1-BQ3)*BQ7*330+BQ11)</f>
        <v>-460420</v>
      </c>
      <c r="BS9" s="70" t="s">
        <v>133</v>
      </c>
      <c r="BT9" s="73">
        <f>IF(BT3&gt;BT1,BT11,(BT1-BT3)*BT7*330+BT11)</f>
        <v>-1306800</v>
      </c>
      <c r="BV9" s="70" t="s">
        <v>133</v>
      </c>
      <c r="BW9" s="73">
        <f>IF(BW3&gt;BW1,BW11,(BW1-BW3)*BW7*330+BW11)</f>
        <v>-409529.99999999849</v>
      </c>
      <c r="BY9" s="70" t="s">
        <v>133</v>
      </c>
      <c r="BZ9" s="73">
        <f>IF(BZ3&gt;BZ1,(BZ3-BZ1)*BZ7*330+BZ11,BZ11)</f>
        <v>269280</v>
      </c>
      <c r="CB9" s="70" t="s">
        <v>133</v>
      </c>
      <c r="CC9" s="73">
        <f>IF(CC3&gt;CC1,(CC3-CC1)*CC7*330+CC11,CC11)</f>
        <v>182490</v>
      </c>
      <c r="CE9" s="70" t="s">
        <v>133</v>
      </c>
      <c r="CF9" s="73">
        <f>IF(CF3&gt;CF1,CF11,(CF1-CF3)*CF7*330+CF11)</f>
        <v>-532950</v>
      </c>
      <c r="CH9" s="70" t="s">
        <v>133</v>
      </c>
      <c r="CI9" s="73">
        <f>IF(CI3&gt;CI1,(CI3-CI1)*CI7*330+CI11,CI11)</f>
        <v>224729.99999999997</v>
      </c>
      <c r="CJ9" s="73"/>
      <c r="CK9" s="70" t="s">
        <v>133</v>
      </c>
      <c r="CL9" s="73">
        <f>IF(CL3&gt;CL1,(CL3-CL1)*CL7*330+CL11,CL11)</f>
        <v>0</v>
      </c>
      <c r="CM9" s="73"/>
      <c r="CN9" s="70" t="s">
        <v>133</v>
      </c>
      <c r="CO9" s="73">
        <f>IF(CO3&gt;CO1,CO11,(CO1-CO3)*CO7*330+CO11)</f>
        <v>-162360</v>
      </c>
      <c r="CQ9" s="70" t="s">
        <v>133</v>
      </c>
      <c r="CR9" s="73">
        <f>IF(CR3&gt;CR1,(CR3-CR1)*CR7*330+CR11,CR11)</f>
        <v>-396000</v>
      </c>
      <c r="CT9" s="70" t="s">
        <v>133</v>
      </c>
      <c r="CU9" s="73">
        <f>IF(CU3&gt;CU1,CU11,(CU1-CU3)*CU7*330+CU11)</f>
        <v>0</v>
      </c>
      <c r="CW9" s="70" t="s">
        <v>133</v>
      </c>
      <c r="CX9" s="73">
        <f>IF(CX3&gt;CX1,(CX3-CX1)*CX7*330+CX11,CX11)</f>
        <v>488400</v>
      </c>
      <c r="CZ9" s="70" t="s">
        <v>133</v>
      </c>
      <c r="DA9" s="73">
        <f>IF(DA3&gt;DA1,(DA3-DA1)*DA7*330+DA11,DA11)</f>
        <v>0</v>
      </c>
      <c r="DC9" s="70" t="s">
        <v>133</v>
      </c>
      <c r="DD9" s="73">
        <f>IF(DD3&gt;DD1,(DD3-DD1)*DD7*330+DD11,DD11)</f>
        <v>0</v>
      </c>
      <c r="DF9" s="70" t="s">
        <v>133</v>
      </c>
      <c r="DG9" s="73">
        <f>IF(DG3&gt;DG1,(DG3-DG1)*DG7*330+DG11,DG11)</f>
        <v>0</v>
      </c>
      <c r="DI9" s="70" t="s">
        <v>133</v>
      </c>
      <c r="DJ9" s="73">
        <f>IF(DJ3&gt;DJ1,DJ11,(DJ1-DJ3)*DJ7*330+DJ11)</f>
        <v>0</v>
      </c>
      <c r="DL9" s="70" t="s">
        <v>133</v>
      </c>
      <c r="DM9" s="73">
        <f>IF(DM3&gt;DM1,(DM3-DM1)*DM7*330+DM11,DM11)</f>
        <v>0</v>
      </c>
      <c r="DO9" s="70" t="s">
        <v>133</v>
      </c>
      <c r="DP9" s="73">
        <f>IF(DP3&gt;DP1,DP11,(DP1-DP3)*DP7*330+DP11)</f>
        <v>189420</v>
      </c>
      <c r="DR9" s="70" t="s">
        <v>133</v>
      </c>
      <c r="DS9" s="73">
        <f>IF(DS3&gt;DS1,(DS3-DS1)*DS7*330+DS11,DS11)</f>
        <v>206250</v>
      </c>
      <c r="DU9" s="70" t="s">
        <v>133</v>
      </c>
      <c r="DV9" s="73">
        <f>IF(DV3&gt;DV1,DV11,(DV1-DV3)*DV7*330+DV11)</f>
        <v>0</v>
      </c>
      <c r="DX9" s="70" t="s">
        <v>133</v>
      </c>
      <c r="DY9" s="73">
        <f>IF(DY3&gt;DY1,(DY3-DY1)*DY7*330+DY11,DY11)</f>
        <v>0</v>
      </c>
      <c r="EA9" s="98" t="s">
        <v>133</v>
      </c>
      <c r="EB9" s="99">
        <f>IF(EB3&gt;EB1,EB11,(EB1-EB3)*EB7*330+EB11)</f>
        <v>294360</v>
      </c>
      <c r="ED9" s="106" t="s">
        <v>133</v>
      </c>
      <c r="EE9" s="107">
        <f>IF(EE3&gt;EE1,(EE3-EE1)*EE7*330+EE11,EE11)</f>
        <v>237930.00000000003</v>
      </c>
      <c r="EG9" s="98" t="s">
        <v>133</v>
      </c>
      <c r="EH9" s="99">
        <f>IF(EH3&gt;EH1,EH11,(EH1-EH3)*EH7*330+EH11)</f>
        <v>125400</v>
      </c>
      <c r="EJ9" s="106" t="s">
        <v>133</v>
      </c>
      <c r="EK9" s="107">
        <f>IF(EK3&gt;EK1,(EK3-EK1)*EK7*330+EK11,EK11)</f>
        <v>107250</v>
      </c>
      <c r="EM9" s="70" t="s">
        <v>133</v>
      </c>
      <c r="EN9" s="73">
        <f>IF(EN3&gt;EN1,EN11,(EN1-EN3)*EN7*330+EN11)</f>
        <v>0</v>
      </c>
      <c r="EP9" s="70" t="s">
        <v>133</v>
      </c>
      <c r="EQ9" s="73">
        <f>IF(EQ3&gt;EQ1,EQ11,(EQ1-EQ3)*EQ7*330+EQ11)</f>
        <v>0</v>
      </c>
      <c r="ES9" s="70" t="s">
        <v>133</v>
      </c>
      <c r="ET9" s="73">
        <f>IF(ET3&gt;ET1,(ET3-ET1)*ET7*330+ET11,ET11)</f>
        <v>0</v>
      </c>
      <c r="EV9" s="112" t="s">
        <v>133</v>
      </c>
      <c r="EW9" s="113">
        <f>IF(EW3&gt;EW1,EW11,(EW1-EW3)*EW7*330+EW11)</f>
        <v>274230</v>
      </c>
      <c r="EY9" s="112" t="s">
        <v>133</v>
      </c>
      <c r="EZ9" s="113">
        <f>IF(EZ3&gt;EZ1,EZ11,(EZ1-EZ3)*EZ7*330+EZ11)</f>
        <v>120614.99999999999</v>
      </c>
      <c r="FB9" s="119" t="s">
        <v>133</v>
      </c>
      <c r="FC9" s="120">
        <f>IF(FC3&gt;FC1,(FC3-FC1)*FC7*330+FC11,FC11)</f>
        <v>299970</v>
      </c>
      <c r="FE9" s="119" t="s">
        <v>133</v>
      </c>
      <c r="FF9" s="120">
        <f>IF(FF3&gt;FF1,(FF3-FF1)*FF7*330+FF11,FF11)</f>
        <v>149985</v>
      </c>
      <c r="FH9" s="125" t="s">
        <v>133</v>
      </c>
      <c r="FI9" s="126">
        <f>IF(FI3&gt;FI1,FI11,(FI1-FI3)*FI7*330+FI11)</f>
        <v>206250</v>
      </c>
      <c r="FK9" s="125" t="s">
        <v>133</v>
      </c>
      <c r="FL9" s="126">
        <f>IF(FL3&gt;FL1,(FL3-FL1)*FL7*330+FL11,FL11)</f>
        <v>231000</v>
      </c>
      <c r="FN9" s="106" t="s">
        <v>133</v>
      </c>
      <c r="FO9" s="107">
        <f>IF(FO3&gt;FO1,(FO3-FO1)*FO7*330+FO11,FO11)</f>
        <v>264000</v>
      </c>
      <c r="FQ9" s="106" t="s">
        <v>133</v>
      </c>
      <c r="FR9" s="107">
        <f>IF(FR3&gt;FR1,FR11,(FR1-FR3)*FR7*330+FR11)</f>
        <v>280500</v>
      </c>
      <c r="FY9" s="70" t="s">
        <v>128</v>
      </c>
      <c r="FZ9" s="73">
        <f>FZ8*17.5</f>
        <v>61250</v>
      </c>
    </row>
    <row r="10" spans="1:193" x14ac:dyDescent="0.3">
      <c r="G10" s="131">
        <v>-30</v>
      </c>
      <c r="H10" s="131">
        <v>295.75</v>
      </c>
      <c r="J10" s="131">
        <v>-50</v>
      </c>
      <c r="K10" s="131">
        <v>307.97000000000003</v>
      </c>
      <c r="L10" s="132" t="s">
        <v>101</v>
      </c>
      <c r="M10" s="131">
        <v>-40</v>
      </c>
      <c r="N10" s="131">
        <v>321.36</v>
      </c>
      <c r="O10" s="131" t="s">
        <v>101</v>
      </c>
      <c r="P10" s="131">
        <f>-8910/330</f>
        <v>-27</v>
      </c>
      <c r="Q10" s="131">
        <v>326</v>
      </c>
      <c r="R10" s="132" t="s">
        <v>100</v>
      </c>
      <c r="U10" s="164"/>
      <c r="V10" s="166">
        <v>50</v>
      </c>
      <c r="W10" s="166">
        <v>319.98</v>
      </c>
      <c r="X10" s="166"/>
      <c r="Y10" s="177"/>
      <c r="Z10" s="177"/>
      <c r="AA10" s="177"/>
      <c r="AB10" s="155"/>
      <c r="AC10" s="155"/>
      <c r="AD10" s="155"/>
      <c r="AE10" s="196"/>
      <c r="AF10" s="196"/>
      <c r="AN10" s="73"/>
      <c r="BE10" s="70"/>
      <c r="EA10" s="98"/>
      <c r="EB10" s="98"/>
      <c r="ED10" s="106"/>
      <c r="EE10" s="106"/>
      <c r="EG10" s="98"/>
      <c r="EH10" s="98"/>
      <c r="EJ10" s="106"/>
      <c r="EK10" s="106"/>
      <c r="EV10" s="112"/>
      <c r="EW10" s="112"/>
      <c r="EY10" s="112"/>
      <c r="EZ10" s="112"/>
      <c r="FB10" s="119"/>
      <c r="FC10" s="119"/>
      <c r="FE10" s="119"/>
      <c r="FF10" s="119"/>
      <c r="FH10" s="125"/>
      <c r="FI10" s="125"/>
      <c r="FK10" s="125"/>
      <c r="FL10" s="125"/>
      <c r="FN10" s="106"/>
      <c r="FO10" s="106"/>
      <c r="FQ10" s="106"/>
      <c r="FR10" s="106"/>
      <c r="GB10" s="204" t="s">
        <v>134</v>
      </c>
      <c r="GC10" s="204"/>
    </row>
    <row r="11" spans="1:193" x14ac:dyDescent="0.3">
      <c r="J11" s="131">
        <v>-100</v>
      </c>
      <c r="K11" s="131">
        <f>336.6-12.25</f>
        <v>324.35000000000002</v>
      </c>
      <c r="L11" s="132" t="s">
        <v>135</v>
      </c>
      <c r="M11" s="131">
        <v>-50</v>
      </c>
      <c r="N11" s="131">
        <v>319</v>
      </c>
      <c r="O11" s="131" t="s">
        <v>101</v>
      </c>
      <c r="P11" s="135">
        <f>-3395/330</f>
        <v>-10.287878787878787</v>
      </c>
      <c r="Q11" s="131">
        <v>326.14999999999998</v>
      </c>
      <c r="R11" s="132" t="s">
        <v>100</v>
      </c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BD11" s="70" t="s">
        <v>136</v>
      </c>
      <c r="BE11" s="73">
        <f>2.86*BE5*BE7*-1-10000</f>
        <v>271252.39999999997</v>
      </c>
      <c r="BF11" s="73"/>
      <c r="BG11" s="70" t="s">
        <v>136</v>
      </c>
      <c r="BH11" s="73">
        <f>3.3*BH5*BH7*-1</f>
        <v>27225</v>
      </c>
      <c r="BI11" s="73"/>
      <c r="BJ11" s="70" t="s">
        <v>136</v>
      </c>
      <c r="BK11" s="73">
        <f>6.4*330*BK7*-1</f>
        <v>340032</v>
      </c>
      <c r="BL11" s="73"/>
      <c r="BM11" s="70" t="s">
        <v>136</v>
      </c>
      <c r="BN11" s="73">
        <f>5.8*BN5*BN7*-1</f>
        <v>278400</v>
      </c>
      <c r="BO11" s="73"/>
      <c r="BP11" s="70" t="s">
        <v>136</v>
      </c>
      <c r="BQ11" s="73">
        <f>8.2*330*BQ7*-1+26000</f>
        <v>174829.99999999997</v>
      </c>
      <c r="BR11" s="73"/>
      <c r="BS11" s="70" t="s">
        <v>136</v>
      </c>
      <c r="BT11" s="73">
        <f>8.6*330*BT7*-1</f>
        <v>425700</v>
      </c>
      <c r="BU11" s="73"/>
      <c r="BV11" s="70" t="s">
        <v>136</v>
      </c>
      <c r="BW11" s="73">
        <f>(6.61+6.78)/2*330*BW7*-1</f>
        <v>441870</v>
      </c>
      <c r="BX11" s="73"/>
      <c r="BY11" s="70" t="s">
        <v>136</v>
      </c>
      <c r="BZ11" s="73">
        <f>8.16*BZ5*BZ7*-1</f>
        <v>269280</v>
      </c>
      <c r="CA11" s="73"/>
      <c r="CB11" s="70" t="s">
        <v>136</v>
      </c>
      <c r="CC11" s="73">
        <f>5.53*CC5*CC7*-1</f>
        <v>182490</v>
      </c>
      <c r="CD11" s="73"/>
      <c r="CE11" s="70" t="s">
        <v>136</v>
      </c>
      <c r="CF11" s="73">
        <f>9.85*330*CF7*-1</f>
        <v>325050</v>
      </c>
      <c r="CG11" s="73"/>
      <c r="CH11" s="70" t="s">
        <v>136</v>
      </c>
      <c r="CI11" s="73">
        <f>6.81*CI5*CI7*-1</f>
        <v>224729.99999999997</v>
      </c>
      <c r="CJ11" s="73"/>
      <c r="CK11" s="70" t="s">
        <v>136</v>
      </c>
      <c r="CL11" s="73">
        <f>8.16*CL5*CL7*-1</f>
        <v>0</v>
      </c>
      <c r="CM11" s="73"/>
      <c r="CN11" s="70" t="s">
        <v>136</v>
      </c>
      <c r="CO11" s="73">
        <f>9*330*CO7*-1</f>
        <v>487080</v>
      </c>
      <c r="CQ11" s="70" t="s">
        <v>136</v>
      </c>
      <c r="CR11" s="73">
        <f>3*CR5*CR7*-1</f>
        <v>-396000</v>
      </c>
      <c r="CT11" s="70" t="s">
        <v>136</v>
      </c>
      <c r="CU11" s="73">
        <f>3.98*330*CU7*-1</f>
        <v>0</v>
      </c>
      <c r="CW11" s="70" t="s">
        <v>136</v>
      </c>
      <c r="CX11" s="73">
        <f>1.85*CX5*CX7*-1</f>
        <v>488400</v>
      </c>
      <c r="CZ11" s="70" t="s">
        <v>136</v>
      </c>
      <c r="DA11" s="73">
        <f>7.6136*DA5*DA7*-1</f>
        <v>0</v>
      </c>
      <c r="DC11" s="70" t="s">
        <v>136</v>
      </c>
      <c r="DD11" s="73">
        <f>8.5*DD5*DD7*-1</f>
        <v>0</v>
      </c>
      <c r="DF11" s="70" t="s">
        <v>136</v>
      </c>
      <c r="DG11" s="73">
        <f>4.952*DG5*DG7*-1</f>
        <v>0</v>
      </c>
      <c r="DI11" s="70" t="s">
        <v>136</v>
      </c>
      <c r="DJ11" s="73">
        <f>2.45*330*DJ7*-1</f>
        <v>0</v>
      </c>
      <c r="DL11" s="70" t="s">
        <v>136</v>
      </c>
      <c r="DM11" s="73">
        <f>2.71*DM5*DM7*-1</f>
        <v>0</v>
      </c>
      <c r="DO11" s="70" t="s">
        <v>136</v>
      </c>
      <c r="DP11" s="73">
        <f>11.48*330*DP7*-1</f>
        <v>189420</v>
      </c>
      <c r="DR11" s="70" t="s">
        <v>136</v>
      </c>
      <c r="DS11" s="73">
        <f>12.5*DS5*DS7*-1</f>
        <v>206250</v>
      </c>
      <c r="DU11" s="70" t="s">
        <v>136</v>
      </c>
      <c r="DV11" s="73">
        <f>3.42*330*DV7*-1</f>
        <v>0</v>
      </c>
      <c r="DX11" s="70" t="s">
        <v>136</v>
      </c>
      <c r="DY11" s="73">
        <f>5.48*DY5*DY7*-1</f>
        <v>0</v>
      </c>
      <c r="EA11" s="98" t="s">
        <v>136</v>
      </c>
      <c r="EB11" s="99">
        <f>8.92*330*EB7*-1</f>
        <v>294360</v>
      </c>
      <c r="ED11" s="106" t="s">
        <v>136</v>
      </c>
      <c r="EE11" s="107">
        <f>7.21*EE5*EE7*-1</f>
        <v>237930.00000000003</v>
      </c>
      <c r="EG11" s="98" t="s">
        <v>136</v>
      </c>
      <c r="EH11" s="99">
        <f>7.6*330*EH7*-1</f>
        <v>125400</v>
      </c>
      <c r="EJ11" s="106" t="s">
        <v>136</v>
      </c>
      <c r="EK11" s="107">
        <f>6.5*EK5*EK7*-1</f>
        <v>107250</v>
      </c>
      <c r="EM11" s="70" t="s">
        <v>136</v>
      </c>
      <c r="EN11" s="73">
        <f>3.45*330*EN7*-1</f>
        <v>0</v>
      </c>
      <c r="EP11" s="70" t="s">
        <v>136</v>
      </c>
      <c r="EQ11" s="73">
        <f>5*330*EQ7*-1</f>
        <v>0</v>
      </c>
      <c r="ES11" s="70" t="s">
        <v>136</v>
      </c>
      <c r="ET11" s="73">
        <f>5.1*ET5*ET7*-1</f>
        <v>0</v>
      </c>
      <c r="EV11" s="112" t="s">
        <v>136</v>
      </c>
      <c r="EW11" s="113">
        <f>8.31*330*EW7*-1</f>
        <v>274230</v>
      </c>
      <c r="EY11" s="112" t="s">
        <v>136</v>
      </c>
      <c r="EZ11" s="113">
        <f>7.31*330*EZ7*-1</f>
        <v>120614.99999999999</v>
      </c>
      <c r="FB11" s="119" t="s">
        <v>136</v>
      </c>
      <c r="FC11" s="120">
        <f>9.09*FC5*FC7*-1</f>
        <v>299970</v>
      </c>
      <c r="FE11" s="119" t="s">
        <v>136</v>
      </c>
      <c r="FF11" s="120">
        <f>9.09*FF5*FF7*-1</f>
        <v>149985</v>
      </c>
      <c r="FH11" s="125" t="s">
        <v>136</v>
      </c>
      <c r="FI11" s="126">
        <f>7.5*330*FI7*-1</f>
        <v>247500</v>
      </c>
      <c r="FK11" s="125" t="s">
        <v>136</v>
      </c>
      <c r="FL11" s="126">
        <f>7*FL5*FL7*-1</f>
        <v>231000</v>
      </c>
      <c r="FN11" s="106" t="s">
        <v>136</v>
      </c>
      <c r="FO11" s="107">
        <f>8*FO5*FO7*-1</f>
        <v>264000</v>
      </c>
      <c r="FQ11" s="106" t="s">
        <v>136</v>
      </c>
      <c r="FR11" s="107">
        <f>8.5*330*FR7*-1</f>
        <v>280500</v>
      </c>
      <c r="FY11" s="70" t="s">
        <v>137</v>
      </c>
      <c r="FZ11" s="73">
        <f>FZ6+FZ9</f>
        <v>358750</v>
      </c>
      <c r="GB11" s="70" t="s">
        <v>117</v>
      </c>
      <c r="GC11" s="73">
        <f>GC5+GC8</f>
        <v>422.14242424242411</v>
      </c>
    </row>
    <row r="12" spans="1:193" x14ac:dyDescent="0.3">
      <c r="J12" s="131">
        <v>-50</v>
      </c>
      <c r="K12" s="131">
        <v>300.39999999999998</v>
      </c>
      <c r="L12" s="132" t="s">
        <v>101</v>
      </c>
      <c r="M12" s="131">
        <v>-20</v>
      </c>
      <c r="N12" s="131">
        <v>315.5</v>
      </c>
      <c r="P12" s="131">
        <f>-2310/330</f>
        <v>-7</v>
      </c>
      <c r="Q12" s="131">
        <v>327</v>
      </c>
      <c r="R12" s="132" t="s">
        <v>100</v>
      </c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BD12" s="77"/>
      <c r="BE12" s="82" t="s">
        <v>138</v>
      </c>
      <c r="BF12" s="83"/>
      <c r="BG12" s="83"/>
      <c r="BH12" s="82" t="s">
        <v>138</v>
      </c>
      <c r="BI12" s="83"/>
      <c r="BJ12" s="83"/>
      <c r="BK12" s="82" t="s">
        <v>138</v>
      </c>
      <c r="BL12" s="82"/>
      <c r="BM12" s="82"/>
      <c r="BN12" s="82" t="s">
        <v>139</v>
      </c>
      <c r="BO12" s="82"/>
      <c r="BP12" s="82"/>
      <c r="BQ12" s="82" t="s">
        <v>139</v>
      </c>
      <c r="BR12" s="83"/>
      <c r="BS12" s="82"/>
      <c r="BT12" s="82" t="s">
        <v>139</v>
      </c>
      <c r="BU12" s="83"/>
      <c r="BV12" s="83"/>
      <c r="BW12" s="82" t="s">
        <v>139</v>
      </c>
      <c r="BX12" s="83"/>
      <c r="BY12" s="83"/>
      <c r="BZ12" s="82" t="s">
        <v>139</v>
      </c>
      <c r="CA12" s="83"/>
      <c r="CB12" s="83"/>
      <c r="CC12" s="83" t="s">
        <v>139</v>
      </c>
      <c r="CD12" s="83"/>
      <c r="CE12" s="83"/>
      <c r="CF12" s="82" t="s">
        <v>139</v>
      </c>
      <c r="CG12" s="83"/>
      <c r="CH12" s="83"/>
      <c r="CI12" s="82" t="s">
        <v>139</v>
      </c>
      <c r="CJ12" s="83"/>
      <c r="CK12" s="83"/>
      <c r="CL12" s="83"/>
      <c r="CM12" s="83"/>
      <c r="CN12" s="83"/>
      <c r="CO12" s="83" t="s">
        <v>139</v>
      </c>
      <c r="CR12" s="83" t="s">
        <v>139</v>
      </c>
      <c r="CT12" s="83"/>
      <c r="CU12" s="83"/>
      <c r="CX12" s="83" t="s">
        <v>139</v>
      </c>
      <c r="DA12" s="83"/>
      <c r="DD12" s="83"/>
      <c r="DG12" s="83"/>
      <c r="DJ12" s="83"/>
      <c r="DM12" s="83"/>
      <c r="DO12" s="83"/>
      <c r="DP12" s="83" t="s">
        <v>139</v>
      </c>
      <c r="DS12" s="83" t="s">
        <v>139</v>
      </c>
      <c r="DU12" s="83"/>
      <c r="DV12" s="83"/>
      <c r="DY12" s="83"/>
      <c r="EA12" s="102"/>
      <c r="EB12" s="102" t="s">
        <v>139</v>
      </c>
      <c r="ED12" s="106"/>
      <c r="EE12" s="109" t="s">
        <v>139</v>
      </c>
      <c r="EG12" s="102"/>
      <c r="EH12" s="102" t="s">
        <v>139</v>
      </c>
      <c r="EJ12" s="106"/>
      <c r="EK12" s="109" t="s">
        <v>139</v>
      </c>
      <c r="EN12" s="83"/>
      <c r="EQ12" s="83"/>
      <c r="ET12" s="83"/>
      <c r="EV12" s="116"/>
      <c r="EW12" s="116" t="s">
        <v>139</v>
      </c>
      <c r="EY12" s="116"/>
      <c r="EZ12" s="116" t="s">
        <v>139</v>
      </c>
      <c r="FB12" s="119"/>
      <c r="FC12" s="122" t="s">
        <v>139</v>
      </c>
      <c r="FE12" s="119"/>
      <c r="FF12" s="122" t="s">
        <v>139</v>
      </c>
      <c r="FH12" s="125"/>
      <c r="FI12" s="129" t="s">
        <v>139</v>
      </c>
      <c r="FK12" s="125"/>
      <c r="FL12" s="129" t="s">
        <v>139</v>
      </c>
      <c r="FN12" s="106"/>
      <c r="FO12" s="109" t="s">
        <v>139</v>
      </c>
      <c r="FQ12" s="106"/>
      <c r="FR12" s="109" t="s">
        <v>139</v>
      </c>
    </row>
    <row r="13" spans="1:193" x14ac:dyDescent="0.3">
      <c r="J13" s="131">
        <v>70</v>
      </c>
      <c r="K13" s="131">
        <v>304</v>
      </c>
      <c r="L13" s="132" t="s">
        <v>101</v>
      </c>
      <c r="M13" s="131">
        <f>-660/330</f>
        <v>-2</v>
      </c>
      <c r="N13" s="131">
        <v>324.35000000000002</v>
      </c>
      <c r="P13" s="131">
        <f>-660/330</f>
        <v>-2</v>
      </c>
      <c r="Q13" s="131">
        <v>331.35</v>
      </c>
      <c r="R13" s="132" t="s">
        <v>100</v>
      </c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BE13" s="70"/>
      <c r="EA13" s="98"/>
      <c r="EB13" s="98"/>
      <c r="ED13" s="106"/>
      <c r="EE13" s="106"/>
      <c r="EG13" s="98"/>
      <c r="EH13" s="98"/>
      <c r="EJ13" s="106"/>
      <c r="EK13" s="106"/>
      <c r="EV13" s="112"/>
      <c r="EW13" s="112"/>
      <c r="EY13" s="112"/>
      <c r="EZ13" s="112"/>
      <c r="FB13" s="119"/>
      <c r="FC13" s="119"/>
      <c r="FE13" s="119"/>
      <c r="FF13" s="119"/>
      <c r="FH13" s="125"/>
      <c r="FI13" s="125"/>
      <c r="FK13" s="125"/>
      <c r="FL13" s="125"/>
      <c r="FN13" s="106"/>
      <c r="FO13" s="106"/>
      <c r="FQ13" s="106"/>
      <c r="FR13" s="106"/>
    </row>
    <row r="14" spans="1:193" x14ac:dyDescent="0.3">
      <c r="J14" s="131">
        <v>33</v>
      </c>
      <c r="K14" s="131">
        <v>304.95</v>
      </c>
      <c r="L14" s="132" t="s">
        <v>101</v>
      </c>
      <c r="M14" s="131">
        <f>-3300/330</f>
        <v>-10</v>
      </c>
      <c r="N14" s="131">
        <v>324</v>
      </c>
      <c r="P14" s="131">
        <f>-3300/330</f>
        <v>-10</v>
      </c>
      <c r="Q14" s="131">
        <v>331</v>
      </c>
      <c r="R14" s="132" t="s">
        <v>100</v>
      </c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BE14" s="70"/>
      <c r="BN14" s="73"/>
      <c r="EA14" s="98"/>
      <c r="EB14" s="98">
        <v>8.92</v>
      </c>
      <c r="ED14" s="106"/>
      <c r="EE14" s="106">
        <v>7.21</v>
      </c>
      <c r="EG14" s="98"/>
      <c r="EH14" s="98">
        <v>7.6</v>
      </c>
      <c r="EJ14" s="106"/>
      <c r="EK14" s="106">
        <v>6.5</v>
      </c>
      <c r="EV14" s="112"/>
      <c r="EW14" s="112">
        <v>8.31</v>
      </c>
      <c r="EY14" s="112"/>
      <c r="EZ14" s="112">
        <v>7.31</v>
      </c>
      <c r="FB14" s="119"/>
      <c r="FC14" s="119">
        <v>9.09</v>
      </c>
      <c r="FE14" s="119"/>
      <c r="FF14" s="119">
        <v>9.09</v>
      </c>
      <c r="FH14" s="125"/>
      <c r="FI14" s="125">
        <v>7.5</v>
      </c>
      <c r="FK14" s="125"/>
      <c r="FL14" s="125">
        <v>7</v>
      </c>
      <c r="FN14" s="106"/>
      <c r="FO14" s="106">
        <v>8</v>
      </c>
      <c r="FQ14" s="106"/>
      <c r="FR14" s="106">
        <v>8.5</v>
      </c>
    </row>
    <row r="15" spans="1:193" x14ac:dyDescent="0.3">
      <c r="J15" s="131">
        <v>25</v>
      </c>
      <c r="K15" s="131">
        <v>302.5</v>
      </c>
      <c r="M15" s="131">
        <f>-7920/330</f>
        <v>-24</v>
      </c>
      <c r="N15" s="131">
        <v>325.14999999999998</v>
      </c>
      <c r="P15" s="131">
        <f>-990/330</f>
        <v>-3</v>
      </c>
      <c r="Q15" s="131">
        <v>332</v>
      </c>
      <c r="R15" s="132" t="s">
        <v>100</v>
      </c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BE15" s="70"/>
      <c r="BH15" s="74"/>
      <c r="EA15" s="98"/>
      <c r="EB15" s="98"/>
      <c r="ED15" s="106"/>
      <c r="EE15" s="106"/>
      <c r="EG15" s="98"/>
      <c r="EH15" s="98"/>
      <c r="EJ15" s="106"/>
      <c r="EK15" s="106"/>
      <c r="EV15" s="112"/>
      <c r="EW15" s="112"/>
      <c r="FH15" s="125"/>
      <c r="FI15" s="125"/>
      <c r="FK15" s="125"/>
      <c r="FL15" s="125"/>
      <c r="FN15" s="106"/>
      <c r="FO15" s="106"/>
      <c r="FQ15" s="106"/>
      <c r="FR15" s="106"/>
    </row>
    <row r="16" spans="1:193" x14ac:dyDescent="0.3">
      <c r="J16" s="131">
        <f>-50+45</f>
        <v>-5</v>
      </c>
      <c r="K16" s="131">
        <f>330-7</f>
        <v>323</v>
      </c>
      <c r="L16" s="132" t="s">
        <v>100</v>
      </c>
      <c r="M16" s="131">
        <v>-30</v>
      </c>
      <c r="N16" s="131">
        <v>304</v>
      </c>
      <c r="P16" s="131">
        <f>-7920/330</f>
        <v>-24</v>
      </c>
      <c r="Q16" s="131">
        <v>332.15</v>
      </c>
      <c r="R16" s="132" t="s">
        <v>100</v>
      </c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BE16" s="70"/>
      <c r="CO16" s="73"/>
      <c r="EA16" s="98" t="s">
        <v>260</v>
      </c>
      <c r="EB16" s="98"/>
      <c r="ED16" s="106" t="s">
        <v>261</v>
      </c>
      <c r="EE16" s="106"/>
      <c r="EG16" s="98"/>
      <c r="EH16" s="98"/>
      <c r="EJ16" s="106"/>
      <c r="EK16" s="106"/>
      <c r="EV16" s="112" t="s">
        <v>267</v>
      </c>
      <c r="EW16" s="112"/>
      <c r="EY16" s="117" t="s">
        <v>268</v>
      </c>
      <c r="EZ16" s="118"/>
      <c r="FH16" s="125" t="s">
        <v>269</v>
      </c>
      <c r="FI16" s="125"/>
      <c r="FK16" s="125" t="s">
        <v>270</v>
      </c>
      <c r="FL16" s="125"/>
      <c r="FN16" s="106" t="s">
        <v>272</v>
      </c>
      <c r="FO16" s="106"/>
      <c r="FQ16" s="106" t="s">
        <v>271</v>
      </c>
      <c r="FR16" s="106"/>
    </row>
    <row r="17" spans="1:183" x14ac:dyDescent="0.3">
      <c r="J17" s="131">
        <v>-7</v>
      </c>
      <c r="K17" s="131">
        <v>317</v>
      </c>
      <c r="L17" s="132" t="s">
        <v>101</v>
      </c>
      <c r="P17" s="131">
        <f>-5940/330</f>
        <v>-18</v>
      </c>
      <c r="Q17" s="131">
        <v>327.5</v>
      </c>
      <c r="R17" s="132" t="s">
        <v>100</v>
      </c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E17" s="70"/>
      <c r="EA17" s="98" t="s">
        <v>27</v>
      </c>
      <c r="EB17" s="98">
        <f>(EB7*EB1+EH7*EH1)/(EB7+EH7)</f>
        <v>320</v>
      </c>
      <c r="ED17" s="106" t="s">
        <v>27</v>
      </c>
      <c r="EE17" s="106">
        <f>(EE7*EE1+EK7*EK1)/(EE7+EK7)</f>
        <v>335</v>
      </c>
      <c r="EG17" s="98"/>
      <c r="EH17" s="98"/>
      <c r="EJ17" s="106"/>
      <c r="EK17" s="106"/>
      <c r="EV17" s="112" t="s">
        <v>27</v>
      </c>
      <c r="EW17" s="112">
        <f>(EW7*EW1+EZ7*EZ1)/(EW7+EZ7)</f>
        <v>320</v>
      </c>
      <c r="EY17" s="119" t="s">
        <v>27</v>
      </c>
      <c r="EZ17" s="120">
        <f>(FC7*FC1+FF7*FF1)/(FC7+FF7)</f>
        <v>335</v>
      </c>
      <c r="FH17" s="125" t="s">
        <v>27</v>
      </c>
      <c r="FI17" s="125">
        <f>(FI7*FI1)/(FI7)</f>
        <v>325</v>
      </c>
      <c r="FK17" s="125" t="s">
        <v>27</v>
      </c>
      <c r="FL17" s="125">
        <f>(FL7*FL1)/(FL7)</f>
        <v>335</v>
      </c>
      <c r="FN17" s="106" t="s">
        <v>27</v>
      </c>
      <c r="FO17" s="106">
        <f>(FO7*FO1)/(FO7)</f>
        <v>335</v>
      </c>
      <c r="FQ17" s="106" t="s">
        <v>27</v>
      </c>
      <c r="FR17" s="106">
        <f>(FR7*FR1)/(FR7)</f>
        <v>325</v>
      </c>
    </row>
    <row r="18" spans="1:183" x14ac:dyDescent="0.3">
      <c r="J18" s="131">
        <v>-18</v>
      </c>
      <c r="K18" s="131">
        <v>317</v>
      </c>
      <c r="L18" s="132" t="s">
        <v>101</v>
      </c>
      <c r="P18" s="134"/>
      <c r="Q18" s="134"/>
      <c r="R18" s="132" t="s">
        <v>140</v>
      </c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BE18" s="70"/>
      <c r="EA18" s="98" t="s">
        <v>259</v>
      </c>
      <c r="EB18" s="98">
        <f>(EB7*EB14+EH7*EH14)/(EB7+EH7)</f>
        <v>8.48</v>
      </c>
      <c r="ED18" s="106" t="s">
        <v>259</v>
      </c>
      <c r="EE18" s="106">
        <f>(EE7*EE14+EK7*EK14)/(EE7+EK7)</f>
        <v>6.9733333333333336</v>
      </c>
      <c r="EG18" s="98"/>
      <c r="EH18" s="98"/>
      <c r="EJ18" s="106"/>
      <c r="EK18" s="106"/>
      <c r="EV18" s="112" t="s">
        <v>259</v>
      </c>
      <c r="EW18" s="112">
        <f>(EW7*EW14+EZ7*EZ14)/(EW7+EZ7)</f>
        <v>7.9766666666666666</v>
      </c>
      <c r="EY18" s="119" t="s">
        <v>259</v>
      </c>
      <c r="EZ18" s="121">
        <f>(FC7*FC14+FF7*FF14)/(FC7+FF7)</f>
        <v>9.09</v>
      </c>
      <c r="FH18" s="125" t="s">
        <v>259</v>
      </c>
      <c r="FI18" s="125">
        <f>FI14</f>
        <v>7.5</v>
      </c>
      <c r="FK18" s="125" t="s">
        <v>259</v>
      </c>
      <c r="FL18" s="125">
        <f>FL14</f>
        <v>7</v>
      </c>
      <c r="FN18" s="106" t="s">
        <v>259</v>
      </c>
      <c r="FO18" s="106">
        <f>FO14</f>
        <v>8</v>
      </c>
      <c r="FQ18" s="106" t="s">
        <v>259</v>
      </c>
      <c r="FR18" s="106">
        <f>FR14</f>
        <v>8.5</v>
      </c>
    </row>
    <row r="19" spans="1:183" x14ac:dyDescent="0.3">
      <c r="P19" s="134"/>
      <c r="Q19" s="134"/>
      <c r="R19" s="132" t="s">
        <v>140</v>
      </c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BE19" s="70"/>
      <c r="EA19" s="98" t="s">
        <v>14</v>
      </c>
      <c r="EB19" s="98">
        <f>EB7+EH7</f>
        <v>-150</v>
      </c>
      <c r="ED19" s="106" t="s">
        <v>14</v>
      </c>
      <c r="EE19" s="106">
        <f>EE7+EK7</f>
        <v>-150</v>
      </c>
      <c r="EG19" s="98"/>
      <c r="EH19" s="103"/>
      <c r="EJ19" s="106"/>
      <c r="EK19" s="106"/>
      <c r="EV19" s="112" t="s">
        <v>14</v>
      </c>
      <c r="EW19" s="112">
        <f>EW7+EZ7</f>
        <v>-150</v>
      </c>
      <c r="EY19" s="119" t="s">
        <v>14</v>
      </c>
      <c r="EZ19" s="119">
        <f>FC7+FF7</f>
        <v>-150</v>
      </c>
      <c r="FH19" s="125" t="s">
        <v>14</v>
      </c>
      <c r="FI19" s="125">
        <f>FI7</f>
        <v>-100</v>
      </c>
      <c r="FK19" s="125" t="s">
        <v>14</v>
      </c>
      <c r="FL19" s="125">
        <f>FL7</f>
        <v>-100</v>
      </c>
      <c r="FN19" s="106" t="s">
        <v>14</v>
      </c>
      <c r="FO19" s="106">
        <f>FO7</f>
        <v>-100</v>
      </c>
      <c r="FQ19" s="106" t="s">
        <v>14</v>
      </c>
      <c r="FR19" s="106">
        <f>FR7</f>
        <v>-100</v>
      </c>
      <c r="GA19" s="73"/>
    </row>
    <row r="20" spans="1:183" x14ac:dyDescent="0.3">
      <c r="R20" s="132" t="s">
        <v>141</v>
      </c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W20" s="85"/>
      <c r="AX20" s="85"/>
      <c r="AY20" s="85"/>
      <c r="AZ20" s="85"/>
      <c r="BA20" s="85"/>
      <c r="BB20" s="85"/>
      <c r="BC20" s="85"/>
      <c r="BD20" s="85" t="s">
        <v>142</v>
      </c>
      <c r="BE20" s="85"/>
      <c r="BF20" s="85"/>
      <c r="BK20" s="73"/>
      <c r="EH20" s="86"/>
      <c r="GA20" s="73"/>
    </row>
    <row r="21" spans="1:183" x14ac:dyDescent="0.3"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W21" s="85" t="s">
        <v>143</v>
      </c>
      <c r="AX21" s="85"/>
      <c r="AY21" s="85"/>
      <c r="AZ21" s="85"/>
      <c r="BA21" s="85"/>
      <c r="BB21" s="85"/>
      <c r="BC21" s="85"/>
      <c r="BD21" s="87" t="s">
        <v>101</v>
      </c>
      <c r="BE21" s="87">
        <f>90664-34</f>
        <v>90630</v>
      </c>
      <c r="BF21" s="85" t="s">
        <v>139</v>
      </c>
      <c r="BK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EA21" s="70" t="s">
        <v>267</v>
      </c>
      <c r="ED21" s="70" t="s">
        <v>268</v>
      </c>
      <c r="GA21" s="73"/>
    </row>
    <row r="22" spans="1:183" x14ac:dyDescent="0.3"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Q22" s="73"/>
      <c r="AW22" s="85" t="s">
        <v>144</v>
      </c>
      <c r="AX22" s="85"/>
      <c r="AY22" s="85"/>
      <c r="AZ22" s="85"/>
      <c r="BA22" s="85"/>
      <c r="BB22" s="85"/>
      <c r="BC22" s="85"/>
      <c r="BD22" s="87" t="s">
        <v>101</v>
      </c>
      <c r="BE22" s="87">
        <f>-45519-6613+50752+66395</f>
        <v>65015</v>
      </c>
      <c r="BF22" s="85" t="s">
        <v>139</v>
      </c>
      <c r="BK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/>
      <c r="CH22" s="73"/>
      <c r="CI22" s="73"/>
      <c r="CJ22" s="73"/>
      <c r="EA22" s="70" t="s">
        <v>27</v>
      </c>
      <c r="EB22" s="70" t="e">
        <f>(EB12*EB6+EH12*EH6)/(EB12+EH12)</f>
        <v>#VALUE!</v>
      </c>
      <c r="ED22" s="70" t="s">
        <v>27</v>
      </c>
      <c r="EE22" s="70" t="e">
        <f>(EE12*EE6+EK12*EK6)/(EE12+EK12)</f>
        <v>#VALUE!</v>
      </c>
      <c r="GA22" s="73"/>
    </row>
    <row r="23" spans="1:183" x14ac:dyDescent="0.3"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N23" s="73"/>
      <c r="AT23" s="88"/>
      <c r="AU23" s="73"/>
      <c r="AV23" s="73"/>
      <c r="AW23" s="85" t="s">
        <v>145</v>
      </c>
      <c r="AX23" s="85"/>
      <c r="AY23" s="85"/>
      <c r="AZ23" s="85"/>
      <c r="BA23" s="85"/>
      <c r="BB23" s="85"/>
      <c r="BC23" s="85"/>
      <c r="BD23" s="87" t="s">
        <v>101</v>
      </c>
      <c r="BE23" s="87">
        <f>-66562-193426+296882+323386+6433</f>
        <v>366713</v>
      </c>
      <c r="BF23" s="85" t="s">
        <v>139</v>
      </c>
      <c r="BK23" s="73"/>
      <c r="BN23" s="73"/>
      <c r="EA23" s="70" t="s">
        <v>259</v>
      </c>
      <c r="EB23" s="70" t="e">
        <f>(EB12*EB19+EH12*EH19)/(EB12+EH12)</f>
        <v>#VALUE!</v>
      </c>
      <c r="ED23" s="70" t="s">
        <v>259</v>
      </c>
      <c r="EE23" s="70" t="e">
        <f>(EE12*EE19+EK12*EK19)/(EE12+EK12)</f>
        <v>#VALUE!</v>
      </c>
      <c r="GA23" s="73"/>
    </row>
    <row r="24" spans="1:183" x14ac:dyDescent="0.3">
      <c r="C24" s="135"/>
      <c r="F24" s="135"/>
      <c r="P24" s="137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T24" s="73"/>
      <c r="AU24" s="73"/>
      <c r="AV24" s="73"/>
      <c r="AW24" s="85" t="s">
        <v>146</v>
      </c>
      <c r="AX24" s="85"/>
      <c r="AY24" s="85"/>
      <c r="AZ24" s="85"/>
      <c r="BA24" s="85"/>
      <c r="BB24" s="85"/>
      <c r="BC24" s="85"/>
      <c r="BD24" s="87" t="s">
        <v>101</v>
      </c>
      <c r="BE24" s="87">
        <v>-1269830</v>
      </c>
      <c r="BF24" s="85" t="s">
        <v>139</v>
      </c>
      <c r="BK24" s="73"/>
      <c r="EA24" s="70" t="s">
        <v>14</v>
      </c>
      <c r="EB24" s="70" t="e">
        <f>EB12+EH12</f>
        <v>#VALUE!</v>
      </c>
      <c r="ED24" s="70" t="s">
        <v>14</v>
      </c>
      <c r="EE24" s="70" t="e">
        <f>EE12+EK12</f>
        <v>#VALUE!</v>
      </c>
    </row>
    <row r="25" spans="1:183" x14ac:dyDescent="0.3">
      <c r="C25" s="135"/>
      <c r="F25" s="135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W25" s="85" t="s">
        <v>147</v>
      </c>
      <c r="AX25" s="85"/>
      <c r="AY25" s="85"/>
      <c r="AZ25" s="85"/>
      <c r="BA25" s="85"/>
      <c r="BB25" s="85"/>
      <c r="BC25" s="85"/>
      <c r="BD25" s="87" t="s">
        <v>101</v>
      </c>
      <c r="BE25" s="87">
        <f>203629+4404</f>
        <v>208033</v>
      </c>
      <c r="BF25" s="85" t="s">
        <v>139</v>
      </c>
      <c r="BK25" s="73"/>
      <c r="BM25" s="73"/>
      <c r="GA25" s="73"/>
    </row>
    <row r="26" spans="1:183" x14ac:dyDescent="0.3">
      <c r="C26" s="135"/>
      <c r="F26" s="135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N26" s="73"/>
      <c r="AW26" s="85" t="s">
        <v>148</v>
      </c>
      <c r="AX26" s="85"/>
      <c r="AY26" s="85"/>
      <c r="AZ26" s="85"/>
      <c r="BA26" s="85"/>
      <c r="BB26" s="85"/>
      <c r="BC26" s="85"/>
      <c r="BD26" s="87" t="s">
        <v>101</v>
      </c>
      <c r="BE26" s="87">
        <v>-433527</v>
      </c>
      <c r="BF26" s="85" t="s">
        <v>139</v>
      </c>
      <c r="BI26" s="73"/>
      <c r="BK26" s="73"/>
      <c r="EA26" s="70" t="s">
        <v>269</v>
      </c>
      <c r="ED26" s="70" t="s">
        <v>270</v>
      </c>
      <c r="GA26" s="73"/>
    </row>
    <row r="27" spans="1:183" x14ac:dyDescent="0.3">
      <c r="A27" s="131">
        <f>SUM(A2:A25)</f>
        <v>0</v>
      </c>
      <c r="B27" s="136" t="e">
        <f>SUMPRODUCT(A2:A25,B2:B25)/A27</f>
        <v>#DIV/0!</v>
      </c>
      <c r="C27" s="135"/>
      <c r="D27" s="131">
        <f>SUM(D2:D25)</f>
        <v>200</v>
      </c>
      <c r="E27" s="136">
        <f>SUMPRODUCT(D2:D25,E2:E25)/D27</f>
        <v>317.69</v>
      </c>
      <c r="F27" s="135"/>
      <c r="G27" s="131">
        <f>SUM(G2:G25)</f>
        <v>-380</v>
      </c>
      <c r="H27" s="136">
        <f>SUMPRODUCT(G2:G25,H2:H25)/G27</f>
        <v>311.19094736842106</v>
      </c>
      <c r="J27" s="131">
        <f>SUM(J2:J23)</f>
        <v>-238</v>
      </c>
      <c r="K27" s="136">
        <f>SUMPRODUCT(J2:J23,K2:K23)/J27</f>
        <v>327.5829831932773</v>
      </c>
      <c r="M27" s="131">
        <f>SUM(M2:M25)</f>
        <v>-131</v>
      </c>
      <c r="N27" s="136">
        <f>SUMPRODUCT(M2:M25,N2:N25)/M27</f>
        <v>327.21221374045803</v>
      </c>
      <c r="P27" s="135">
        <f>SUM(P2:P26)</f>
        <v>-143.28787878787878</v>
      </c>
      <c r="Q27" s="136">
        <f>SUMPRODUCT(P2:P26,Q2:Q26)/P27</f>
        <v>333.14431109231259</v>
      </c>
      <c r="S27" s="131">
        <f>SUM(S2:S25)</f>
        <v>-256.69090909090909</v>
      </c>
      <c r="T27" s="136">
        <f>SUMPRODUCT(S2:S25,T2:T25)/S27</f>
        <v>328.36723473579832</v>
      </c>
      <c r="V27" s="169">
        <f>SUM(V2:V25)</f>
        <v>-162.90909090909091</v>
      </c>
      <c r="W27" s="185">
        <f>SUMPRODUCT(V2:V25,W2:W25)/V27</f>
        <v>330.50340401785718</v>
      </c>
      <c r="X27" s="163"/>
      <c r="Y27" s="192">
        <f>SUM(Y2:Y25)</f>
        <v>-200</v>
      </c>
      <c r="Z27" s="193">
        <f>SUMPRODUCT(Y2:Y25,Z2:Z25)/Y27</f>
        <v>327.88625000000002</v>
      </c>
      <c r="AA27" s="191"/>
      <c r="AB27" s="187">
        <f>SUM(AB2:AB25)</f>
        <v>-100</v>
      </c>
      <c r="AC27" s="162">
        <f>SUMPRODUCT(AB2:AB25,AC2:AC25)/AB27</f>
        <v>329.4</v>
      </c>
      <c r="AD27" s="191"/>
      <c r="AE27" s="201">
        <f>SUM(AE2:AE25)</f>
        <v>-150</v>
      </c>
      <c r="AF27" s="202">
        <f>SUMPRODUCT(AE2:AE25,AF2:AF25)/AE27</f>
        <v>329.72720000000004</v>
      </c>
      <c r="AI27" s="73"/>
      <c r="AN27" s="75"/>
      <c r="AP27" s="73"/>
      <c r="AQ27" s="73"/>
      <c r="AW27" s="85" t="s">
        <v>149</v>
      </c>
      <c r="AX27" s="85"/>
      <c r="AY27" s="85"/>
      <c r="AZ27" s="85"/>
      <c r="BA27" s="85"/>
      <c r="BB27" s="85"/>
      <c r="BC27" s="85"/>
      <c r="BD27" s="87" t="s">
        <v>101</v>
      </c>
      <c r="BE27" s="87">
        <f>-445464+117791</f>
        <v>-327673</v>
      </c>
      <c r="BF27" s="85" t="s">
        <v>139</v>
      </c>
      <c r="BI27" s="73"/>
      <c r="BK27" s="73"/>
      <c r="BM27" s="73"/>
      <c r="EA27" s="70" t="s">
        <v>27</v>
      </c>
      <c r="EB27" s="70">
        <f>(EB17*EB11+EH17*EH11)/(EB17+EH17)</f>
        <v>294360</v>
      </c>
      <c r="ED27" s="70" t="s">
        <v>27</v>
      </c>
      <c r="EE27" s="70">
        <f>(EE17*EE11+EK17*EK11)/(EE17+EK17)</f>
        <v>237930.00000000006</v>
      </c>
      <c r="GA27" s="73"/>
    </row>
    <row r="28" spans="1:183" x14ac:dyDescent="0.3">
      <c r="A28" s="138"/>
      <c r="B28" s="135" t="s">
        <v>109</v>
      </c>
      <c r="C28" s="135"/>
      <c r="D28" s="138"/>
      <c r="E28" s="135"/>
      <c r="F28" s="135"/>
      <c r="H28" s="139"/>
      <c r="J28" s="139"/>
      <c r="M28" s="139"/>
      <c r="Q28" s="139"/>
      <c r="S28" s="140"/>
      <c r="V28" s="176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W28" s="85"/>
      <c r="AX28" s="85"/>
      <c r="AY28" s="85"/>
      <c r="AZ28" s="85"/>
      <c r="BA28" s="85"/>
      <c r="BB28" s="85"/>
      <c r="BC28" s="85"/>
      <c r="BD28" s="87"/>
      <c r="BE28" s="87"/>
      <c r="BF28" s="85"/>
      <c r="BI28" s="73"/>
      <c r="BK28" s="73"/>
      <c r="EA28" s="70" t="s">
        <v>259</v>
      </c>
      <c r="EB28" s="70" t="e">
        <f>(EB17*EB24+EH17*EH24)/(EB17+EH17)</f>
        <v>#VALUE!</v>
      </c>
      <c r="ED28" s="70" t="s">
        <v>259</v>
      </c>
      <c r="EE28" s="70" t="e">
        <f>(EE17*EE24+EK17*EK24)/(EE17+EK17)</f>
        <v>#VALUE!</v>
      </c>
    </row>
    <row r="29" spans="1:183" x14ac:dyDescent="0.3">
      <c r="A29" s="135"/>
      <c r="B29" s="135"/>
      <c r="C29" s="131" t="s">
        <v>6</v>
      </c>
      <c r="D29" s="135">
        <f>BE7+BH7</f>
        <v>-323</v>
      </c>
      <c r="F29" s="131" t="s">
        <v>6</v>
      </c>
      <c r="G29" s="135">
        <f>BN7</f>
        <v>-150</v>
      </c>
      <c r="I29" s="131" t="s">
        <v>6</v>
      </c>
      <c r="J29" s="135">
        <f>BZ7+CC7</f>
        <v>-200</v>
      </c>
      <c r="L29" s="131" t="s">
        <v>6</v>
      </c>
      <c r="M29" s="135">
        <f>CI7</f>
        <v>-100</v>
      </c>
      <c r="O29" s="131" t="s">
        <v>6</v>
      </c>
      <c r="P29" s="135">
        <f>DG7+DD7+DA7+CX7+CL7+CR7+DM7</f>
        <v>-400</v>
      </c>
      <c r="Q29" s="141"/>
      <c r="R29" s="131" t="s">
        <v>6</v>
      </c>
      <c r="S29" s="135">
        <f>DS7+DY7</f>
        <v>-50</v>
      </c>
      <c r="U29" s="171" t="s">
        <v>6</v>
      </c>
      <c r="V29" s="172">
        <f>EE7+EK7+ET7</f>
        <v>-150</v>
      </c>
      <c r="W29" s="163"/>
      <c r="X29" s="186" t="s">
        <v>6</v>
      </c>
      <c r="Y29" s="188">
        <f>FC7+FF7</f>
        <v>-150</v>
      </c>
      <c r="Z29" s="163"/>
      <c r="AA29" s="189" t="s">
        <v>6</v>
      </c>
      <c r="AB29" s="190">
        <f>FL7</f>
        <v>-100</v>
      </c>
      <c r="AC29" s="163"/>
      <c r="AD29" s="194" t="s">
        <v>6</v>
      </c>
      <c r="AE29" s="195">
        <f>FO7</f>
        <v>-100</v>
      </c>
      <c r="AF29" s="163"/>
      <c r="AR29" s="84"/>
      <c r="AW29" s="85"/>
      <c r="AX29" s="85"/>
      <c r="AY29" s="85"/>
      <c r="AZ29" s="85"/>
      <c r="BA29" s="85"/>
      <c r="BB29" s="85"/>
      <c r="BC29" s="85"/>
      <c r="BD29" s="87"/>
      <c r="BE29" s="87"/>
      <c r="BF29" s="85"/>
      <c r="BI29" s="73"/>
      <c r="BK29" s="73"/>
      <c r="EA29" s="70" t="s">
        <v>14</v>
      </c>
      <c r="EB29" s="70">
        <f>EB17+EH17</f>
        <v>320</v>
      </c>
      <c r="ED29" s="70" t="s">
        <v>14</v>
      </c>
      <c r="EE29" s="70">
        <f>EE17+EK17</f>
        <v>335</v>
      </c>
    </row>
    <row r="30" spans="1:183" x14ac:dyDescent="0.3">
      <c r="A30" s="135"/>
      <c r="B30" s="135"/>
      <c r="C30" s="131" t="s">
        <v>150</v>
      </c>
      <c r="D30" s="141">
        <v>0.75</v>
      </c>
      <c r="F30" s="131" t="s">
        <v>150</v>
      </c>
      <c r="G30" s="141">
        <v>1.0000000000000001E-5</v>
      </c>
      <c r="I30" s="131" t="s">
        <v>150</v>
      </c>
      <c r="J30" s="141">
        <v>0.3</v>
      </c>
      <c r="L30" s="131" t="s">
        <v>150</v>
      </c>
      <c r="M30" s="141">
        <v>9.9999999999999995E-7</v>
      </c>
      <c r="O30" s="131" t="s">
        <v>150</v>
      </c>
      <c r="P30" s="141">
        <v>0.05</v>
      </c>
      <c r="R30" s="131" t="s">
        <v>150</v>
      </c>
      <c r="S30" s="141">
        <v>0.5</v>
      </c>
      <c r="U30" s="166" t="s">
        <v>150</v>
      </c>
      <c r="V30" s="173">
        <v>0.05</v>
      </c>
      <c r="W30" s="163"/>
      <c r="X30" s="180" t="s">
        <v>150</v>
      </c>
      <c r="Y30" s="182">
        <v>0.45</v>
      </c>
      <c r="Z30" s="163"/>
      <c r="AA30" s="155" t="s">
        <v>150</v>
      </c>
      <c r="AB30" s="159">
        <v>0.45</v>
      </c>
      <c r="AC30" s="163"/>
      <c r="AD30" s="196" t="s">
        <v>150</v>
      </c>
      <c r="AE30" s="197">
        <v>0.45</v>
      </c>
      <c r="AF30" s="163"/>
      <c r="AR30" s="73"/>
      <c r="AW30" s="85"/>
      <c r="AX30" s="85"/>
      <c r="AY30" s="85"/>
      <c r="AZ30" s="85"/>
      <c r="BA30" s="85"/>
      <c r="BB30" s="85"/>
      <c r="BC30" s="85"/>
      <c r="BD30" s="87"/>
      <c r="BE30" s="87"/>
      <c r="BF30" s="85"/>
      <c r="BI30" s="73"/>
      <c r="BK30" s="73"/>
      <c r="GA30" s="73"/>
    </row>
    <row r="31" spans="1:183" x14ac:dyDescent="0.3">
      <c r="A31" s="135"/>
      <c r="B31" s="135"/>
      <c r="C31" s="131" t="s">
        <v>151</v>
      </c>
      <c r="D31" s="135">
        <f>D29*D30</f>
        <v>-242.25</v>
      </c>
      <c r="F31" s="131" t="s">
        <v>151</v>
      </c>
      <c r="G31" s="135">
        <f>G29*G30</f>
        <v>-1.5E-3</v>
      </c>
      <c r="I31" s="131" t="s">
        <v>151</v>
      </c>
      <c r="J31" s="135">
        <f>J29*J30</f>
        <v>-60</v>
      </c>
      <c r="L31" s="131" t="s">
        <v>151</v>
      </c>
      <c r="M31" s="135">
        <f>M29*M30</f>
        <v>-9.9999999999999991E-5</v>
      </c>
      <c r="O31" s="131" t="s">
        <v>151</v>
      </c>
      <c r="P31" s="135">
        <f>P29*P30</f>
        <v>-20</v>
      </c>
      <c r="R31" s="131" t="s">
        <v>151</v>
      </c>
      <c r="S31" s="135">
        <f>S29*S30</f>
        <v>-25</v>
      </c>
      <c r="U31" s="168" t="s">
        <v>151</v>
      </c>
      <c r="V31" s="172">
        <f>V29*V30</f>
        <v>-7.5</v>
      </c>
      <c r="W31" s="163"/>
      <c r="X31" s="180" t="s">
        <v>151</v>
      </c>
      <c r="Y31" s="181">
        <f>Y29*Y30</f>
        <v>-67.5</v>
      </c>
      <c r="Z31" s="163"/>
      <c r="AA31" s="155" t="s">
        <v>151</v>
      </c>
      <c r="AB31" s="157">
        <f>AB29*AB30</f>
        <v>-45</v>
      </c>
      <c r="AC31" s="163"/>
      <c r="AD31" s="196" t="s">
        <v>151</v>
      </c>
      <c r="AE31" s="198">
        <f>AE29*AE30</f>
        <v>-45</v>
      </c>
      <c r="AF31" s="163"/>
      <c r="AW31" s="85"/>
      <c r="AX31" s="85"/>
      <c r="AY31" s="85"/>
      <c r="AZ31" s="85"/>
      <c r="BA31" s="85"/>
      <c r="BB31" s="85"/>
      <c r="BC31" s="85"/>
      <c r="BD31" s="87"/>
      <c r="BE31" s="87"/>
      <c r="BF31" s="85"/>
      <c r="BK31" s="73"/>
      <c r="EA31" s="70" t="s">
        <v>271</v>
      </c>
      <c r="ED31" s="70" t="s">
        <v>272</v>
      </c>
      <c r="GA31" s="73"/>
    </row>
    <row r="32" spans="1:183" x14ac:dyDescent="0.3">
      <c r="A32" s="135"/>
      <c r="B32" s="135"/>
      <c r="D32" s="135"/>
      <c r="G32" s="135"/>
      <c r="J32" s="135"/>
      <c r="M32" s="135"/>
      <c r="P32" s="135"/>
      <c r="S32" s="135"/>
      <c r="U32" s="166"/>
      <c r="V32" s="172"/>
      <c r="W32" s="163"/>
      <c r="X32" s="180"/>
      <c r="Y32" s="181"/>
      <c r="Z32" s="163"/>
      <c r="AA32" s="155"/>
      <c r="AB32" s="157"/>
      <c r="AC32" s="163"/>
      <c r="AD32" s="196"/>
      <c r="AE32" s="198"/>
      <c r="AF32" s="163"/>
      <c r="AW32" s="85"/>
      <c r="AX32" s="85"/>
      <c r="AY32" s="85"/>
      <c r="AZ32" s="85"/>
      <c r="BA32" s="85"/>
      <c r="BB32" s="85"/>
      <c r="BC32" s="85"/>
      <c r="BD32" s="87"/>
      <c r="BE32" s="87"/>
      <c r="BF32" s="85"/>
      <c r="BK32" s="73"/>
      <c r="EA32" s="70" t="s">
        <v>27</v>
      </c>
      <c r="EB32" s="70" t="e">
        <f>(EB22*EB16+EH22*EH16)/(EB22+EH22)</f>
        <v>#VALUE!</v>
      </c>
      <c r="ED32" s="70" t="s">
        <v>27</v>
      </c>
      <c r="EE32" s="70" t="e">
        <f>(EE22*EE16+EK22*EK16)/(EE22+EK22)</f>
        <v>#VALUE!</v>
      </c>
    </row>
    <row r="33" spans="1:184" x14ac:dyDescent="0.3">
      <c r="A33" s="135"/>
      <c r="B33" s="135"/>
      <c r="C33" s="131" t="s">
        <v>16</v>
      </c>
      <c r="D33" s="135">
        <f>BK7</f>
        <v>-161</v>
      </c>
      <c r="F33" s="131" t="s">
        <v>16</v>
      </c>
      <c r="G33" s="135">
        <f>BQ7+BT7</f>
        <v>-205</v>
      </c>
      <c r="I33" s="131" t="s">
        <v>16</v>
      </c>
      <c r="J33" s="135">
        <f>BW7</f>
        <v>-200</v>
      </c>
      <c r="L33" s="131" t="s">
        <v>16</v>
      </c>
      <c r="M33" s="135">
        <f>CF7</f>
        <v>-100</v>
      </c>
      <c r="O33" s="131" t="s">
        <v>16</v>
      </c>
      <c r="P33" s="135">
        <f>CO7+CU7+DJ7</f>
        <v>-164</v>
      </c>
      <c r="R33" s="131" t="s">
        <v>16</v>
      </c>
      <c r="S33" s="135">
        <f>DV7+DY7+DP7</f>
        <v>-50</v>
      </c>
      <c r="U33" s="166" t="s">
        <v>16</v>
      </c>
      <c r="V33" s="172">
        <f>EB7+EH7+EN7+EQ7</f>
        <v>-150</v>
      </c>
      <c r="W33" s="163"/>
      <c r="X33" s="180" t="s">
        <v>16</v>
      </c>
      <c r="Y33" s="181">
        <f>EW7+EZ7</f>
        <v>-150</v>
      </c>
      <c r="Z33" s="163"/>
      <c r="AA33" s="155" t="s">
        <v>16</v>
      </c>
      <c r="AB33" s="157">
        <f>FI7</f>
        <v>-100</v>
      </c>
      <c r="AC33" s="163"/>
      <c r="AD33" s="196" t="s">
        <v>16</v>
      </c>
      <c r="AE33" s="198">
        <f>FR7</f>
        <v>-100</v>
      </c>
      <c r="AF33" s="163"/>
      <c r="AW33" s="85"/>
      <c r="AX33" s="85"/>
      <c r="AY33" s="85"/>
      <c r="AZ33" s="85"/>
      <c r="BA33" s="85"/>
      <c r="BB33" s="85"/>
      <c r="BC33" s="85"/>
      <c r="BD33" s="87"/>
      <c r="BE33" s="87"/>
      <c r="BF33" s="85"/>
      <c r="BK33" s="73"/>
      <c r="EA33" s="70" t="s">
        <v>259</v>
      </c>
      <c r="EB33" s="70" t="e">
        <f>(EB22*EB29+EH22*EH29)/(EB22+EH22)</f>
        <v>#VALUE!</v>
      </c>
      <c r="ED33" s="70" t="s">
        <v>259</v>
      </c>
      <c r="EE33" s="70" t="e">
        <f>(EE22*EE29+EK22*EK29)/(EE22+EK22)</f>
        <v>#VALUE!</v>
      </c>
      <c r="GA33" s="73"/>
      <c r="GB33" s="76"/>
    </row>
    <row r="34" spans="1:184" x14ac:dyDescent="0.3">
      <c r="A34" s="135"/>
      <c r="B34" s="135"/>
      <c r="C34" s="131" t="s">
        <v>150</v>
      </c>
      <c r="D34" s="142">
        <v>0.35</v>
      </c>
      <c r="F34" s="131" t="s">
        <v>150</v>
      </c>
      <c r="G34" s="142">
        <v>1</v>
      </c>
      <c r="I34" s="131" t="s">
        <v>150</v>
      </c>
      <c r="J34" s="142">
        <v>0.75</v>
      </c>
      <c r="L34" s="131" t="s">
        <v>150</v>
      </c>
      <c r="M34" s="142">
        <v>1</v>
      </c>
      <c r="O34" s="131" t="s">
        <v>150</v>
      </c>
      <c r="P34" s="142">
        <v>0.3</v>
      </c>
      <c r="R34" s="131" t="s">
        <v>150</v>
      </c>
      <c r="S34" s="142">
        <v>0.15</v>
      </c>
      <c r="U34" s="166" t="s">
        <v>150</v>
      </c>
      <c r="V34" s="174">
        <v>0.5</v>
      </c>
      <c r="W34" s="163"/>
      <c r="X34" s="180" t="s">
        <v>150</v>
      </c>
      <c r="Y34" s="183">
        <v>0.45</v>
      </c>
      <c r="Z34" s="163"/>
      <c r="AA34" s="155" t="s">
        <v>150</v>
      </c>
      <c r="AB34" s="160">
        <v>0.35</v>
      </c>
      <c r="AC34" s="163"/>
      <c r="AD34" s="196" t="s">
        <v>150</v>
      </c>
      <c r="AE34" s="199">
        <v>0.35</v>
      </c>
      <c r="AF34" s="163"/>
      <c r="AW34" s="85"/>
      <c r="AX34" s="85"/>
      <c r="AY34" s="85"/>
      <c r="AZ34" s="85"/>
      <c r="BA34" s="85"/>
      <c r="BB34" s="85"/>
      <c r="BC34" s="85"/>
      <c r="BD34" s="87"/>
      <c r="BE34" s="87"/>
      <c r="BF34" s="85"/>
      <c r="BK34" s="73"/>
      <c r="EA34" s="70" t="s">
        <v>14</v>
      </c>
      <c r="EB34" s="70" t="e">
        <f>EB22+EH22</f>
        <v>#VALUE!</v>
      </c>
      <c r="ED34" s="70" t="s">
        <v>14</v>
      </c>
      <c r="EE34" s="70" t="e">
        <f>EE22+EK22</f>
        <v>#VALUE!</v>
      </c>
    </row>
    <row r="35" spans="1:184" x14ac:dyDescent="0.3">
      <c r="A35" s="135"/>
      <c r="B35" s="135"/>
      <c r="C35" s="131" t="s">
        <v>152</v>
      </c>
      <c r="D35" s="135">
        <f>D33*D34*-1</f>
        <v>56.349999999999994</v>
      </c>
      <c r="F35" s="131" t="s">
        <v>152</v>
      </c>
      <c r="G35" s="135">
        <f>G33*G34*-1</f>
        <v>205</v>
      </c>
      <c r="I35" s="131" t="s">
        <v>152</v>
      </c>
      <c r="J35" s="135">
        <f>J33*J34*-1</f>
        <v>150</v>
      </c>
      <c r="L35" s="131" t="s">
        <v>152</v>
      </c>
      <c r="M35" s="135">
        <f>M33*M34*-1</f>
        <v>100</v>
      </c>
      <c r="O35" s="131" t="s">
        <v>152</v>
      </c>
      <c r="P35" s="135">
        <f>P33*P34*-1</f>
        <v>49.199999999999996</v>
      </c>
      <c r="R35" s="131" t="s">
        <v>152</v>
      </c>
      <c r="S35" s="135">
        <f>S33*S34*-1</f>
        <v>7.5</v>
      </c>
      <c r="U35" s="166" t="s">
        <v>152</v>
      </c>
      <c r="V35" s="172">
        <f>V33*V34*-1</f>
        <v>75</v>
      </c>
      <c r="W35" s="163"/>
      <c r="X35" s="180" t="s">
        <v>152</v>
      </c>
      <c r="Y35" s="181">
        <f>Y33*Y34*-1</f>
        <v>67.5</v>
      </c>
      <c r="Z35" s="163"/>
      <c r="AA35" s="155" t="s">
        <v>152</v>
      </c>
      <c r="AB35" s="157">
        <f>AB33*AB34*-1</f>
        <v>35</v>
      </c>
      <c r="AC35" s="163"/>
      <c r="AD35" s="196" t="s">
        <v>152</v>
      </c>
      <c r="AE35" s="198">
        <f>AE33*AE34*-1</f>
        <v>35</v>
      </c>
      <c r="AF35" s="163"/>
      <c r="AW35" s="85"/>
      <c r="AX35" s="85"/>
      <c r="AY35" s="85"/>
      <c r="AZ35" s="85"/>
      <c r="BA35" s="85"/>
      <c r="BB35" s="85"/>
      <c r="BC35" s="85"/>
      <c r="BD35" s="87"/>
      <c r="BE35" s="87"/>
      <c r="BF35" s="85"/>
      <c r="BK35" s="73"/>
    </row>
    <row r="36" spans="1:184" x14ac:dyDescent="0.3">
      <c r="A36" s="135"/>
      <c r="B36" s="135"/>
      <c r="D36" s="135"/>
      <c r="G36" s="135"/>
      <c r="J36" s="135"/>
      <c r="M36" s="135"/>
      <c r="P36" s="135"/>
      <c r="S36" s="135"/>
      <c r="U36" s="166"/>
      <c r="V36" s="172"/>
      <c r="W36" s="163"/>
      <c r="X36" s="180"/>
      <c r="Y36" s="181"/>
      <c r="Z36" s="163"/>
      <c r="AA36" s="155"/>
      <c r="AB36" s="157"/>
      <c r="AC36" s="163"/>
      <c r="AD36" s="196"/>
      <c r="AE36" s="198"/>
      <c r="AF36" s="163"/>
      <c r="AW36" s="85"/>
      <c r="AX36" s="85"/>
      <c r="AY36" s="85"/>
      <c r="AZ36" s="85"/>
      <c r="BA36" s="85"/>
      <c r="BB36" s="85"/>
      <c r="BC36" s="85"/>
      <c r="BD36" s="87"/>
      <c r="BE36" s="87"/>
      <c r="BF36" s="85"/>
      <c r="BK36" s="73"/>
      <c r="FY36" s="73"/>
      <c r="GA36" s="73"/>
      <c r="GB36" s="76"/>
    </row>
    <row r="37" spans="1:184" x14ac:dyDescent="0.3">
      <c r="A37" s="135"/>
      <c r="B37" s="135"/>
      <c r="C37" s="131" t="s">
        <v>153</v>
      </c>
      <c r="D37" s="135">
        <f>D27</f>
        <v>200</v>
      </c>
      <c r="F37" s="131" t="s">
        <v>153</v>
      </c>
      <c r="G37" s="135">
        <f>G27</f>
        <v>-380</v>
      </c>
      <c r="I37" s="131" t="s">
        <v>153</v>
      </c>
      <c r="J37" s="135">
        <f>J27</f>
        <v>-238</v>
      </c>
      <c r="K37" s="139"/>
      <c r="L37" s="131" t="s">
        <v>153</v>
      </c>
      <c r="M37" s="135">
        <f>M27</f>
        <v>-131</v>
      </c>
      <c r="O37" s="131" t="s">
        <v>153</v>
      </c>
      <c r="P37" s="135">
        <f>P27</f>
        <v>-143.28787878787878</v>
      </c>
      <c r="R37" s="131" t="s">
        <v>153</v>
      </c>
      <c r="S37" s="135">
        <f>S27</f>
        <v>-256.69090909090909</v>
      </c>
      <c r="U37" s="166" t="s">
        <v>153</v>
      </c>
      <c r="V37" s="172">
        <f>V27</f>
        <v>-162.90909090909091</v>
      </c>
      <c r="W37" s="163"/>
      <c r="X37" s="180" t="s">
        <v>153</v>
      </c>
      <c r="Y37" s="181">
        <f>Y27</f>
        <v>-200</v>
      </c>
      <c r="Z37" s="163"/>
      <c r="AA37" s="155" t="s">
        <v>153</v>
      </c>
      <c r="AB37" s="157">
        <f>AB27</f>
        <v>-100</v>
      </c>
      <c r="AC37" s="163"/>
      <c r="AD37" s="196" t="s">
        <v>153</v>
      </c>
      <c r="AE37" s="198">
        <f>AE27</f>
        <v>-150</v>
      </c>
      <c r="AF37" s="163"/>
      <c r="AW37" s="85"/>
      <c r="AX37" s="85"/>
      <c r="AY37" s="85"/>
      <c r="AZ37" s="85"/>
      <c r="BA37" s="85"/>
      <c r="BB37" s="85"/>
      <c r="BC37" s="85"/>
      <c r="BD37" s="87"/>
      <c r="BE37" s="87"/>
      <c r="BF37" s="85"/>
      <c r="BK37" s="73"/>
    </row>
    <row r="38" spans="1:184" x14ac:dyDescent="0.3">
      <c r="A38" s="135"/>
      <c r="B38" s="135"/>
      <c r="D38" s="135"/>
      <c r="G38" s="135"/>
      <c r="J38" s="135"/>
      <c r="M38" s="135"/>
      <c r="P38" s="135"/>
      <c r="S38" s="135"/>
      <c r="U38" s="166"/>
      <c r="V38" s="172"/>
      <c r="W38" s="163"/>
      <c r="X38" s="180"/>
      <c r="Y38" s="181"/>
      <c r="Z38" s="163"/>
      <c r="AA38" s="155"/>
      <c r="AB38" s="157"/>
      <c r="AC38" s="163"/>
      <c r="AD38" s="196"/>
      <c r="AE38" s="198"/>
      <c r="AF38" s="163"/>
      <c r="AW38" s="85" t="s">
        <v>154</v>
      </c>
      <c r="AX38" s="85"/>
      <c r="AY38" s="85"/>
      <c r="AZ38" s="85"/>
      <c r="BA38" s="85"/>
      <c r="BB38" s="85"/>
      <c r="BC38" s="85"/>
      <c r="BD38" s="87"/>
      <c r="BE38" s="87">
        <f>SUM(BE21:BE36)</f>
        <v>-1300639</v>
      </c>
      <c r="BF38" s="85"/>
      <c r="BK38" s="73"/>
    </row>
    <row r="39" spans="1:184" x14ac:dyDescent="0.3">
      <c r="A39" s="135"/>
      <c r="B39" s="135"/>
      <c r="C39" s="131" t="s">
        <v>155</v>
      </c>
      <c r="D39" s="135">
        <f>D37+D35+D31</f>
        <v>14.100000000000023</v>
      </c>
      <c r="F39" s="131" t="s">
        <v>155</v>
      </c>
      <c r="G39" s="135">
        <f>G37+G35+G31</f>
        <v>-175.00149999999999</v>
      </c>
      <c r="I39" s="131" t="s">
        <v>155</v>
      </c>
      <c r="J39" s="135">
        <f>J37+J35+J31</f>
        <v>-148</v>
      </c>
      <c r="L39" s="131" t="s">
        <v>155</v>
      </c>
      <c r="M39" s="135">
        <f>M37+M35+M31</f>
        <v>-31.0001</v>
      </c>
      <c r="O39" s="131" t="s">
        <v>155</v>
      </c>
      <c r="P39" s="135">
        <f>P37+P35+P31</f>
        <v>-114.08787878787879</v>
      </c>
      <c r="Q39" s="143"/>
      <c r="R39" s="131" t="s">
        <v>155</v>
      </c>
      <c r="S39" s="135">
        <f>S37+S35+S31</f>
        <v>-274.19090909090909</v>
      </c>
      <c r="U39" s="166" t="s">
        <v>155</v>
      </c>
      <c r="V39" s="172">
        <f>V37+V35+V31</f>
        <v>-95.409090909090907</v>
      </c>
      <c r="W39" s="163"/>
      <c r="X39" s="180" t="s">
        <v>155</v>
      </c>
      <c r="Y39" s="181">
        <f>Y37+Y35+Y31</f>
        <v>-200</v>
      </c>
      <c r="Z39" s="163"/>
      <c r="AA39" s="155"/>
      <c r="AB39" s="157">
        <f>AB37+AB35+AB31</f>
        <v>-110</v>
      </c>
      <c r="AC39" s="163"/>
      <c r="AD39" s="196"/>
      <c r="AE39" s="198">
        <f>AE37+AE35+AE31</f>
        <v>-160</v>
      </c>
      <c r="AF39" s="163"/>
      <c r="AW39" s="85" t="s">
        <v>156</v>
      </c>
      <c r="AX39" s="85"/>
      <c r="AY39" s="85"/>
      <c r="AZ39" s="85"/>
      <c r="BA39" s="85"/>
      <c r="BB39" s="85"/>
      <c r="BC39" s="85"/>
      <c r="BD39" s="87"/>
      <c r="BE39" s="87">
        <f>SUM(GJ6:GJ1048576)</f>
        <v>0</v>
      </c>
      <c r="BF39" s="85"/>
      <c r="BK39" s="73"/>
    </row>
    <row r="40" spans="1:184" x14ac:dyDescent="0.3">
      <c r="A40" s="135"/>
      <c r="B40" s="135"/>
      <c r="C40" s="135"/>
      <c r="F40" s="135"/>
      <c r="M40" s="135"/>
      <c r="P40" s="135"/>
      <c r="Q40" s="143"/>
      <c r="S40" s="135"/>
      <c r="U40" s="166"/>
      <c r="V40" s="172"/>
      <c r="W40" s="163"/>
      <c r="X40" s="180"/>
      <c r="Y40" s="181"/>
      <c r="Z40" s="163"/>
      <c r="AA40" s="155"/>
      <c r="AB40" s="157"/>
      <c r="AC40" s="163"/>
      <c r="AD40" s="196"/>
      <c r="AE40" s="198"/>
      <c r="AF40" s="163"/>
      <c r="AW40" s="85" t="s">
        <v>150</v>
      </c>
      <c r="AX40" s="85"/>
      <c r="AY40" s="85"/>
      <c r="AZ40" s="85"/>
      <c r="BA40" s="85"/>
      <c r="BB40" s="85"/>
      <c r="BC40" s="85"/>
      <c r="BD40" s="87"/>
      <c r="BE40" s="87">
        <f>BE38-BE39</f>
        <v>-1300639</v>
      </c>
      <c r="BF40" s="85"/>
      <c r="BK40" s="73"/>
    </row>
    <row r="41" spans="1:184" x14ac:dyDescent="0.3">
      <c r="A41" s="135"/>
      <c r="B41" s="135"/>
      <c r="C41" s="135" t="s">
        <v>157</v>
      </c>
      <c r="D41" s="135">
        <f>(6525+4200)/330</f>
        <v>32.5</v>
      </c>
      <c r="F41" s="135" t="s">
        <v>157</v>
      </c>
      <c r="G41" s="135">
        <f>(30495-2600+106000-13000)/330</f>
        <v>366.34848484848487</v>
      </c>
      <c r="I41" s="131" t="s">
        <v>157</v>
      </c>
      <c r="J41" s="135">
        <f>(8200+119000)/330</f>
        <v>385.45454545454544</v>
      </c>
      <c r="L41" s="131" t="s">
        <v>157</v>
      </c>
      <c r="M41" s="135">
        <f>(55062+8775)/330</f>
        <v>193.44545454545454</v>
      </c>
      <c r="O41" s="131" t="s">
        <v>157</v>
      </c>
      <c r="P41" s="135">
        <f>(25160+1800+820)/330</f>
        <v>84.181818181818187</v>
      </c>
      <c r="Q41" s="143"/>
      <c r="R41" s="131" t="s">
        <v>157</v>
      </c>
      <c r="S41" s="135">
        <f>(77630+9135+13770+1700)/330</f>
        <v>309.80303030303031</v>
      </c>
      <c r="U41" s="166" t="s">
        <v>157</v>
      </c>
      <c r="V41" s="172">
        <f>(76700+3240+1950)/330</f>
        <v>248.15151515151516</v>
      </c>
      <c r="W41" s="163"/>
      <c r="X41" s="180" t="s">
        <v>157</v>
      </c>
      <c r="Y41" s="181">
        <f>(52300+400+3400+54000)/330</f>
        <v>333.63636363636363</v>
      </c>
      <c r="Z41" s="163"/>
      <c r="AA41" s="155" t="s">
        <v>157</v>
      </c>
      <c r="AB41" s="157">
        <f>(102000+40000)/330</f>
        <v>430.30303030303031</v>
      </c>
      <c r="AC41" s="163"/>
      <c r="AD41" s="196" t="s">
        <v>157</v>
      </c>
      <c r="AE41" s="198">
        <f>(19000+7500+45000)/330</f>
        <v>216.66666666666666</v>
      </c>
      <c r="AF41" s="163"/>
      <c r="BD41" s="73"/>
      <c r="BK41" s="73"/>
    </row>
    <row r="42" spans="1:184" x14ac:dyDescent="0.3">
      <c r="A42" s="135"/>
      <c r="B42" s="135"/>
      <c r="C42" s="135" t="s">
        <v>109</v>
      </c>
      <c r="D42" s="135"/>
      <c r="E42" s="135"/>
      <c r="F42" s="135"/>
      <c r="L42" s="131" t="s">
        <v>158</v>
      </c>
      <c r="M42" s="135"/>
      <c r="O42" s="131" t="s">
        <v>159</v>
      </c>
      <c r="P42" s="135"/>
      <c r="Q42" s="143"/>
      <c r="S42" s="142"/>
      <c r="U42" s="166" t="s">
        <v>160</v>
      </c>
      <c r="V42" s="172"/>
      <c r="W42" s="163"/>
      <c r="X42" s="180" t="s">
        <v>160</v>
      </c>
      <c r="Y42" s="183">
        <f>Y37/Y41</f>
        <v>-0.59945504087193457</v>
      </c>
      <c r="Z42" s="163"/>
      <c r="AA42" s="155" t="s">
        <v>160</v>
      </c>
      <c r="AB42" s="157">
        <f>AB41*330</f>
        <v>142000</v>
      </c>
      <c r="AC42" s="163"/>
      <c r="AD42" s="196"/>
      <c r="AE42" s="196"/>
      <c r="AF42" s="163"/>
      <c r="BD42" s="73"/>
      <c r="BK42" s="73"/>
    </row>
    <row r="43" spans="1:184" x14ac:dyDescent="0.3">
      <c r="A43" s="135"/>
      <c r="B43" s="135"/>
      <c r="C43" s="135"/>
      <c r="D43" s="135"/>
      <c r="E43" s="135"/>
      <c r="F43" s="135"/>
      <c r="M43" s="144"/>
      <c r="P43" s="135"/>
      <c r="Q43" s="143"/>
      <c r="R43" s="143"/>
      <c r="S43" s="135"/>
      <c r="U43" s="166"/>
      <c r="V43" s="170"/>
      <c r="W43" s="163"/>
      <c r="X43" s="180"/>
      <c r="Y43" s="181"/>
      <c r="Z43" s="163"/>
      <c r="AA43" s="155"/>
      <c r="AB43" s="155"/>
      <c r="AC43" s="163"/>
      <c r="AD43" s="196"/>
      <c r="AE43" s="196"/>
      <c r="AF43" s="163"/>
      <c r="BD43" s="73"/>
      <c r="BE43" s="88"/>
      <c r="BK43" s="73"/>
    </row>
    <row r="44" spans="1:184" x14ac:dyDescent="0.3">
      <c r="A44" s="135"/>
      <c r="B44" s="135"/>
      <c r="C44" s="135"/>
      <c r="D44" s="135"/>
      <c r="E44" s="135"/>
      <c r="F44" s="135"/>
      <c r="M44" s="144"/>
      <c r="P44" s="135"/>
      <c r="R44" s="139"/>
      <c r="S44" s="135"/>
      <c r="U44" s="166"/>
      <c r="V44" s="175"/>
      <c r="W44" s="163"/>
      <c r="X44" s="180"/>
      <c r="Y44" s="181"/>
      <c r="Z44" s="163"/>
      <c r="AA44" s="155"/>
      <c r="AB44" s="155"/>
      <c r="AC44" s="163"/>
      <c r="AD44" s="196"/>
      <c r="AE44" s="196"/>
      <c r="AF44" s="163"/>
      <c r="BD44" s="73"/>
      <c r="BK44" s="73"/>
    </row>
    <row r="45" spans="1:184" x14ac:dyDescent="0.3">
      <c r="A45" s="135"/>
      <c r="B45" s="135"/>
      <c r="C45" s="136"/>
      <c r="D45" s="136"/>
      <c r="E45" s="135"/>
      <c r="F45" s="133"/>
      <c r="M45" s="144"/>
      <c r="P45" s="135"/>
      <c r="S45" s="135"/>
      <c r="U45" s="166"/>
      <c r="V45" s="170"/>
      <c r="W45" s="163"/>
      <c r="X45" s="180"/>
      <c r="Y45" s="177"/>
      <c r="Z45" s="163"/>
      <c r="AA45" s="155"/>
      <c r="AB45" s="155"/>
      <c r="AC45" s="163"/>
      <c r="AD45" s="196"/>
      <c r="AE45" s="196"/>
      <c r="AF45" s="163"/>
      <c r="BD45" s="73"/>
      <c r="BK45" s="73"/>
    </row>
    <row r="46" spans="1:184" x14ac:dyDescent="0.3">
      <c r="A46" s="135"/>
      <c r="B46" s="135"/>
      <c r="C46" s="136"/>
      <c r="D46" s="135"/>
      <c r="E46" s="135"/>
      <c r="F46" s="135"/>
      <c r="I46" s="145" t="s">
        <v>161</v>
      </c>
      <c r="J46" s="145"/>
      <c r="K46" s="146">
        <f>SUM(Y39:Y41)+SUM(AB39:AB41)+SUM(AE39:AE41)</f>
        <v>510.60606060606062</v>
      </c>
      <c r="M46" s="144"/>
      <c r="O46" s="131" t="s">
        <v>162</v>
      </c>
      <c r="P46" s="143">
        <f>P41*330*335</f>
        <v>9306300</v>
      </c>
      <c r="R46" s="131" t="s">
        <v>162</v>
      </c>
      <c r="S46" s="143">
        <f>S41*330*335</f>
        <v>34248725</v>
      </c>
      <c r="U46" s="166" t="s">
        <v>162</v>
      </c>
      <c r="V46" s="175">
        <f>V41*330*250</f>
        <v>20472500</v>
      </c>
      <c r="W46" s="163"/>
      <c r="X46" s="180" t="s">
        <v>162</v>
      </c>
      <c r="Y46" s="184">
        <f>Y41*330*250</f>
        <v>27525000</v>
      </c>
      <c r="Z46" s="163"/>
      <c r="AA46" s="155" t="s">
        <v>162</v>
      </c>
      <c r="AB46" s="161">
        <f>AB41*330*250</f>
        <v>35500000</v>
      </c>
      <c r="AC46" s="163"/>
      <c r="AD46" s="196" t="s">
        <v>162</v>
      </c>
      <c r="AE46" s="200">
        <f>AE41*330*250</f>
        <v>17875000</v>
      </c>
      <c r="AF46" s="163"/>
      <c r="BD46" s="73"/>
      <c r="BK46" s="73"/>
    </row>
    <row r="47" spans="1:184" x14ac:dyDescent="0.3">
      <c r="A47" s="135"/>
      <c r="B47" s="135"/>
      <c r="C47" s="143"/>
      <c r="D47" s="135"/>
      <c r="E47" s="135"/>
      <c r="F47" s="142"/>
      <c r="I47" s="131" t="s">
        <v>163</v>
      </c>
      <c r="K47" s="143">
        <f>K46*330</f>
        <v>168500</v>
      </c>
      <c r="M47" s="144"/>
      <c r="P47" s="143"/>
      <c r="S47" s="143"/>
      <c r="U47" s="166"/>
      <c r="V47" s="175"/>
      <c r="W47" s="163"/>
      <c r="X47" s="180"/>
      <c r="Y47" s="184"/>
      <c r="Z47" s="163"/>
      <c r="AA47" s="155"/>
      <c r="AB47" s="161"/>
      <c r="AC47" s="163"/>
      <c r="AD47" s="196"/>
      <c r="AE47" s="200"/>
      <c r="AF47" s="163"/>
      <c r="BD47" s="73"/>
      <c r="BK47" s="73"/>
    </row>
    <row r="48" spans="1:184" x14ac:dyDescent="0.3">
      <c r="A48" s="135"/>
      <c r="B48" s="135"/>
      <c r="C48" s="135"/>
      <c r="D48" s="135"/>
      <c r="E48" s="135"/>
      <c r="F48" s="135"/>
      <c r="I48" s="131" t="s">
        <v>116</v>
      </c>
      <c r="K48" s="143">
        <f>K47/20</f>
        <v>8425</v>
      </c>
      <c r="M48" s="144"/>
      <c r="O48" s="131" t="s">
        <v>164</v>
      </c>
      <c r="P48" s="143">
        <f>P41*(337+3)*333</f>
        <v>9531065.4545454551</v>
      </c>
      <c r="R48" s="131" t="s">
        <v>164</v>
      </c>
      <c r="S48" s="143">
        <f>S41*(AT2+4)*330</f>
        <v>33149698.750000004</v>
      </c>
      <c r="U48" s="166" t="s">
        <v>164</v>
      </c>
      <c r="V48" s="175">
        <f>V41*(AV2+4)*330</f>
        <v>26532360</v>
      </c>
      <c r="W48" s="163"/>
      <c r="X48" s="180" t="s">
        <v>164</v>
      </c>
      <c r="Y48" s="184">
        <f>Y41*(AX2+5)*330</f>
        <v>36195375</v>
      </c>
      <c r="Z48" s="163"/>
      <c r="AA48" s="155" t="s">
        <v>164</v>
      </c>
      <c r="AB48" s="161">
        <f>AB41*(AZ2+5)*330</f>
        <v>46916800</v>
      </c>
      <c r="AC48" s="163"/>
      <c r="AD48" s="196" t="s">
        <v>164</v>
      </c>
      <c r="AE48" s="200">
        <f>AE41*(BB2+5)*330</f>
        <v>23666499.999999996</v>
      </c>
      <c r="AF48" s="163"/>
      <c r="BD48" s="73"/>
      <c r="BK48" s="73"/>
    </row>
    <row r="49" spans="1:193" x14ac:dyDescent="0.3">
      <c r="A49" s="135"/>
      <c r="B49" s="135"/>
      <c r="C49" s="136"/>
      <c r="D49" s="135"/>
      <c r="E49" s="135"/>
      <c r="F49" s="135"/>
      <c r="K49" s="143"/>
      <c r="M49" s="144"/>
      <c r="U49" s="166"/>
      <c r="V49" s="170"/>
      <c r="W49" s="163"/>
      <c r="X49" s="180"/>
      <c r="Y49" s="177"/>
      <c r="Z49" s="163"/>
      <c r="AA49" s="155"/>
      <c r="AB49" s="155"/>
      <c r="AC49" s="163"/>
      <c r="AD49" s="196"/>
      <c r="AE49" s="196"/>
      <c r="AF49" s="163"/>
      <c r="BD49" s="73"/>
      <c r="BK49" s="73"/>
    </row>
    <row r="50" spans="1:193" x14ac:dyDescent="0.3">
      <c r="A50" s="135"/>
      <c r="B50" s="135"/>
      <c r="C50" s="135"/>
      <c r="D50" s="135"/>
      <c r="E50" s="135"/>
      <c r="F50" s="135"/>
      <c r="K50" s="143">
        <f>K46*330</f>
        <v>168500</v>
      </c>
      <c r="M50" s="144"/>
      <c r="O50" s="131" t="s">
        <v>150</v>
      </c>
      <c r="P50" s="143">
        <f>P48-P46</f>
        <v>224765.45454545505</v>
      </c>
      <c r="R50" s="131" t="s">
        <v>150</v>
      </c>
      <c r="S50" s="143">
        <f>S48-S46</f>
        <v>-1099026.2499999963</v>
      </c>
      <c r="U50" s="166" t="s">
        <v>150</v>
      </c>
      <c r="V50" s="175">
        <f>V48-V46</f>
        <v>6059860</v>
      </c>
      <c r="W50" s="163"/>
      <c r="X50" s="180" t="s">
        <v>150</v>
      </c>
      <c r="Y50" s="184">
        <f>Y48-Y46</f>
        <v>8670375</v>
      </c>
      <c r="Z50" s="163"/>
      <c r="AA50" s="155" t="s">
        <v>150</v>
      </c>
      <c r="AB50" s="161">
        <f>AB48-AB46</f>
        <v>11416800</v>
      </c>
      <c r="AC50" s="163"/>
      <c r="AD50" s="196" t="s">
        <v>150</v>
      </c>
      <c r="AE50" s="200">
        <f>AE48-AE46</f>
        <v>5791499.9999999963</v>
      </c>
      <c r="AF50" s="163"/>
      <c r="BD50" s="73"/>
      <c r="BK50" s="73"/>
    </row>
    <row r="51" spans="1:193" x14ac:dyDescent="0.3">
      <c r="A51" s="135"/>
      <c r="B51" s="135"/>
      <c r="C51" s="144"/>
      <c r="D51" s="136"/>
      <c r="E51" s="135"/>
      <c r="F51" s="135"/>
      <c r="M51" s="144"/>
      <c r="P51" s="135"/>
      <c r="S51" s="135">
        <f>S41*330/20</f>
        <v>5111.75</v>
      </c>
      <c r="U51" s="166"/>
      <c r="V51" s="172">
        <f>V41*330/20</f>
        <v>4094.5</v>
      </c>
      <c r="W51" s="163"/>
      <c r="X51" s="180"/>
      <c r="Y51" s="181">
        <f>Y41*330/20</f>
        <v>5505</v>
      </c>
      <c r="Z51" s="163"/>
      <c r="AA51" s="155"/>
      <c r="AB51" s="157">
        <f>AB41*330/20</f>
        <v>7100</v>
      </c>
      <c r="AC51" s="163"/>
      <c r="AD51" s="196"/>
      <c r="AE51" s="198">
        <f>AE41*330/20</f>
        <v>3575</v>
      </c>
      <c r="AF51" s="163"/>
      <c r="BD51" s="73"/>
      <c r="BK51" s="73"/>
    </row>
    <row r="52" spans="1:193" x14ac:dyDescent="0.3">
      <c r="A52" s="135"/>
      <c r="B52" s="135"/>
      <c r="C52" s="135"/>
      <c r="D52" s="135"/>
      <c r="E52" s="135"/>
      <c r="F52" s="135"/>
      <c r="I52" s="131" t="s">
        <v>165</v>
      </c>
      <c r="K52" s="143">
        <f>AN3+AP3+AR3+BE9+BH9+BK9+BN9+BQ9+BT9+BW9+BZ9+CC9+CF9+CI9+CL9+CO9+CR9+CU9+CX9+DA9+DD9+DG9+DJ9+DM9+DP9+DS9+DV9+DY9+EB9+EE9+EH9+EK9+EN9+EQ9+ET9+EW9+EZ9+FC9+FO9++FF9+FR9+AJ3+AL3+AT3</f>
        <v>6795829.1700000074</v>
      </c>
      <c r="L52" s="135"/>
      <c r="M52" s="144"/>
      <c r="P52" s="135"/>
      <c r="S52" s="135"/>
      <c r="V52" s="135"/>
      <c r="Y52" s="135"/>
      <c r="AB52" s="135"/>
      <c r="AF52" s="163"/>
      <c r="BD52" s="73"/>
      <c r="BK52" s="73"/>
    </row>
    <row r="53" spans="1:193" x14ac:dyDescent="0.3">
      <c r="A53" s="135"/>
      <c r="B53" s="135"/>
      <c r="C53" s="135"/>
      <c r="D53" s="136"/>
      <c r="E53" s="135"/>
      <c r="F53" s="135"/>
      <c r="M53" s="144"/>
      <c r="P53" s="135"/>
      <c r="S53" s="135"/>
      <c r="U53" s="143"/>
      <c r="AF53" s="163"/>
      <c r="BD53" s="73"/>
      <c r="BK53" s="73"/>
    </row>
    <row r="54" spans="1:193" x14ac:dyDescent="0.3">
      <c r="A54" s="135"/>
      <c r="B54" s="135"/>
      <c r="C54" s="135"/>
      <c r="D54" s="135"/>
      <c r="E54" s="135"/>
      <c r="F54" s="135"/>
      <c r="I54" s="131" t="s">
        <v>166</v>
      </c>
      <c r="K54" s="135">
        <f>Y41+AB41+AE41</f>
        <v>980.60606060606062</v>
      </c>
      <c r="M54" s="144"/>
      <c r="P54" s="135"/>
      <c r="S54" s="135"/>
      <c r="U54" s="147"/>
      <c r="AF54" s="163"/>
      <c r="BD54" s="73"/>
      <c r="BK54" s="73"/>
    </row>
    <row r="55" spans="1:193" x14ac:dyDescent="0.3">
      <c r="A55" s="135"/>
      <c r="B55" s="135"/>
      <c r="C55" s="135"/>
      <c r="D55" s="135"/>
      <c r="E55" s="135"/>
      <c r="F55" s="135"/>
      <c r="M55" s="144"/>
      <c r="N55" s="131" t="s">
        <v>167</v>
      </c>
      <c r="O55" s="131" t="s">
        <v>168</v>
      </c>
      <c r="P55" s="135"/>
      <c r="S55" s="135" t="s">
        <v>167</v>
      </c>
      <c r="T55" s="131" t="s">
        <v>168</v>
      </c>
      <c r="W55" s="135" t="s">
        <v>167</v>
      </c>
      <c r="X55" s="131" t="s">
        <v>168</v>
      </c>
      <c r="AA55" s="135" t="s">
        <v>167</v>
      </c>
      <c r="AB55" s="131" t="s">
        <v>168</v>
      </c>
      <c r="AE55" s="135" t="s">
        <v>167</v>
      </c>
      <c r="AF55" s="163" t="s">
        <v>168</v>
      </c>
      <c r="AI55" s="76" t="s">
        <v>167</v>
      </c>
      <c r="AJ55" s="70" t="s">
        <v>168</v>
      </c>
      <c r="BD55" s="73"/>
      <c r="BK55" s="73"/>
    </row>
    <row r="56" spans="1:193" x14ac:dyDescent="0.3">
      <c r="A56" s="135"/>
      <c r="B56" s="135"/>
      <c r="C56" s="135"/>
      <c r="D56" s="135"/>
      <c r="E56" s="135"/>
      <c r="F56" s="135"/>
      <c r="I56" s="131" t="s">
        <v>169</v>
      </c>
      <c r="K56" s="143">
        <f>K54*330</f>
        <v>323600</v>
      </c>
      <c r="L56" s="147"/>
      <c r="M56" s="144" t="s">
        <v>170</v>
      </c>
      <c r="N56" s="131">
        <v>940</v>
      </c>
      <c r="O56" s="131">
        <v>179</v>
      </c>
      <c r="P56" s="135"/>
      <c r="R56" s="131" t="s">
        <v>170</v>
      </c>
      <c r="S56" s="135"/>
      <c r="W56" s="135"/>
      <c r="AA56" s="135"/>
      <c r="AE56" s="135"/>
      <c r="AF56" s="163"/>
      <c r="AI56" s="76"/>
      <c r="BD56" s="73"/>
      <c r="BK56" s="73"/>
    </row>
    <row r="57" spans="1:193" x14ac:dyDescent="0.3">
      <c r="A57" s="135"/>
      <c r="B57" s="135"/>
      <c r="C57" s="135"/>
      <c r="D57" s="135"/>
      <c r="E57" s="135"/>
      <c r="F57" s="135"/>
      <c r="M57" s="144" t="s">
        <v>171</v>
      </c>
      <c r="N57" s="131">
        <v>-810</v>
      </c>
      <c r="O57" s="131">
        <v>0</v>
      </c>
      <c r="P57" s="135"/>
      <c r="R57" s="131" t="s">
        <v>171</v>
      </c>
      <c r="S57" s="135"/>
      <c r="W57" s="135"/>
      <c r="AA57" s="135"/>
      <c r="AE57" s="135"/>
      <c r="AF57" s="163"/>
      <c r="AI57" s="76"/>
      <c r="BD57" s="73"/>
      <c r="BK57" s="73"/>
    </row>
    <row r="58" spans="1:193" x14ac:dyDescent="0.3">
      <c r="A58" s="135"/>
      <c r="B58" s="135"/>
      <c r="C58" s="135"/>
      <c r="D58" s="135"/>
      <c r="E58" s="135"/>
      <c r="F58" s="135"/>
      <c r="I58" s="131" t="s">
        <v>172</v>
      </c>
      <c r="K58" s="133">
        <f>K52/K56</f>
        <v>21.000708189122395</v>
      </c>
      <c r="M58" s="144"/>
      <c r="P58" s="135"/>
      <c r="S58" s="135"/>
      <c r="T58" s="135"/>
      <c r="U58" s="135"/>
      <c r="W58" s="135"/>
      <c r="X58" s="135"/>
      <c r="AA58" s="135"/>
      <c r="AB58" s="135"/>
      <c r="AE58" s="135"/>
      <c r="AF58" s="163"/>
      <c r="AI58" s="76"/>
      <c r="AJ58" s="76"/>
      <c r="BD58" s="73"/>
      <c r="BK58" s="73"/>
    </row>
    <row r="59" spans="1:193" x14ac:dyDescent="0.3">
      <c r="A59" s="135"/>
      <c r="B59" s="135"/>
      <c r="C59" s="135"/>
      <c r="D59" s="135"/>
      <c r="E59" s="135"/>
      <c r="F59" s="135"/>
      <c r="N59" s="131">
        <f>SUM(N56:N57)</f>
        <v>130</v>
      </c>
      <c r="O59" s="131">
        <f>SUM(O56:O57)</f>
        <v>179</v>
      </c>
      <c r="P59" s="135"/>
      <c r="R59" s="135"/>
      <c r="S59" s="135"/>
      <c r="T59" s="135"/>
      <c r="V59" s="143"/>
      <c r="W59" s="135"/>
      <c r="X59" s="135"/>
      <c r="AF59" s="163"/>
      <c r="BD59" s="73"/>
      <c r="BK59" s="73"/>
      <c r="GF59" s="89"/>
      <c r="GG59" s="90"/>
      <c r="GH59" s="90"/>
      <c r="GI59" s="91"/>
      <c r="GJ59" s="91"/>
      <c r="GK59" s="90"/>
    </row>
    <row r="60" spans="1:193" x14ac:dyDescent="0.3">
      <c r="A60" s="135"/>
      <c r="B60" s="135"/>
      <c r="C60" s="135"/>
      <c r="D60" s="135"/>
      <c r="E60" s="135"/>
      <c r="F60" s="135"/>
      <c r="I60" s="131" t="s">
        <v>173</v>
      </c>
      <c r="K60" s="133" t="s">
        <v>174</v>
      </c>
      <c r="L60" s="131" t="s">
        <v>175</v>
      </c>
      <c r="O60" s="143"/>
      <c r="AF60" s="163"/>
      <c r="BD60" s="73"/>
      <c r="BK60" s="73"/>
      <c r="GF60" s="89"/>
      <c r="GG60" s="90"/>
      <c r="GH60" s="90"/>
      <c r="GI60" s="91"/>
      <c r="GJ60" s="91"/>
      <c r="GK60" s="90"/>
    </row>
    <row r="61" spans="1:193" x14ac:dyDescent="0.3">
      <c r="A61" s="135"/>
      <c r="B61" s="135"/>
      <c r="C61" s="135"/>
      <c r="D61" s="135"/>
      <c r="E61" s="135"/>
      <c r="F61" s="135"/>
      <c r="G61" s="143"/>
      <c r="I61" s="131" t="s">
        <v>176</v>
      </c>
      <c r="K61" s="143">
        <v>9000</v>
      </c>
      <c r="L61" s="143">
        <f>15000-K61</f>
        <v>6000</v>
      </c>
      <c r="O61" s="143"/>
      <c r="AF61" s="163"/>
      <c r="BD61" s="73"/>
      <c r="BK61" s="73"/>
      <c r="GF61" s="89"/>
      <c r="GG61" s="90"/>
      <c r="GH61" s="90"/>
      <c r="GI61" s="91"/>
      <c r="GJ61" s="91"/>
      <c r="GK61" s="90"/>
    </row>
    <row r="62" spans="1:193" x14ac:dyDescent="0.3">
      <c r="A62" s="135"/>
      <c r="B62" s="135"/>
      <c r="C62" s="135"/>
      <c r="D62" s="135"/>
      <c r="E62" s="135"/>
      <c r="F62" s="135"/>
      <c r="G62" s="143"/>
      <c r="H62" s="135"/>
      <c r="I62" s="135" t="s">
        <v>177</v>
      </c>
      <c r="J62" s="143"/>
      <c r="K62" s="143">
        <v>100</v>
      </c>
      <c r="L62" s="143">
        <f>15000-K62</f>
        <v>14900</v>
      </c>
      <c r="O62" s="143"/>
      <c r="P62" s="143">
        <v>23000</v>
      </c>
      <c r="Q62" s="143">
        <v>7.5</v>
      </c>
      <c r="R62" s="143">
        <f>P62*Q62</f>
        <v>172500</v>
      </c>
      <c r="S62" s="143">
        <f>S51*850</f>
        <v>4344987.5</v>
      </c>
      <c r="T62" s="143"/>
      <c r="U62" s="143"/>
      <c r="V62" s="143">
        <v>6000000</v>
      </c>
      <c r="W62" s="143"/>
      <c r="X62" s="143"/>
      <c r="Y62" s="143">
        <f>Y51*700</f>
        <v>3853500</v>
      </c>
      <c r="Z62" s="143"/>
      <c r="AA62" s="143"/>
      <c r="AB62" s="143">
        <f>AB51*625</f>
        <v>4437500</v>
      </c>
      <c r="AD62" s="143"/>
      <c r="AE62" s="143">
        <f>AE51*372</f>
        <v>1329900</v>
      </c>
      <c r="AF62" s="163"/>
      <c r="BD62" s="73"/>
      <c r="BK62" s="73"/>
      <c r="GF62" s="89"/>
      <c r="GG62" s="90"/>
      <c r="GH62" s="90"/>
      <c r="GI62" s="91"/>
      <c r="GJ62" s="91"/>
      <c r="GK62" s="90"/>
    </row>
    <row r="63" spans="1:193" x14ac:dyDescent="0.3">
      <c r="A63" s="135"/>
      <c r="B63" s="135"/>
      <c r="C63" s="135"/>
      <c r="D63" s="135"/>
      <c r="E63" s="135"/>
      <c r="F63" s="135"/>
      <c r="G63" s="143"/>
      <c r="H63" s="135"/>
      <c r="I63" s="135" t="s">
        <v>178</v>
      </c>
      <c r="K63" s="143">
        <v>0</v>
      </c>
      <c r="L63" s="143">
        <v>15000</v>
      </c>
      <c r="O63" s="143"/>
      <c r="P63" s="143">
        <f>P62*14</f>
        <v>322000</v>
      </c>
      <c r="AF63" s="163"/>
      <c r="BD63" s="73"/>
      <c r="GF63" s="89"/>
      <c r="GG63" s="90"/>
      <c r="GH63" s="90"/>
      <c r="GI63" s="91"/>
      <c r="GJ63" s="91"/>
      <c r="GK63" s="90"/>
    </row>
    <row r="64" spans="1:193" x14ac:dyDescent="0.3">
      <c r="A64" s="135"/>
      <c r="B64" s="135"/>
      <c r="C64" s="135"/>
      <c r="D64" s="135"/>
      <c r="E64" s="135"/>
      <c r="F64" s="135"/>
      <c r="K64" s="143"/>
      <c r="P64" s="143">
        <f>P63+R62</f>
        <v>494500</v>
      </c>
      <c r="AF64" s="163"/>
      <c r="BD64" s="73"/>
      <c r="GF64" s="89"/>
      <c r="GG64" s="90"/>
      <c r="GH64" s="90"/>
      <c r="GI64" s="91"/>
      <c r="GJ64" s="91"/>
      <c r="GK64" s="90"/>
    </row>
    <row r="65" spans="1:193" x14ac:dyDescent="0.3">
      <c r="A65" s="135"/>
      <c r="B65" s="135"/>
      <c r="C65" s="135"/>
      <c r="D65" s="135"/>
      <c r="E65" s="135"/>
      <c r="F65" s="135"/>
      <c r="I65" s="131" t="s">
        <v>179</v>
      </c>
      <c r="K65" s="133" t="s">
        <v>174</v>
      </c>
      <c r="L65" s="131" t="s">
        <v>175</v>
      </c>
      <c r="P65" s="142">
        <f>P63/P64</f>
        <v>0.65116279069767447</v>
      </c>
      <c r="Q65" s="142">
        <f>R62/P64</f>
        <v>0.34883720930232559</v>
      </c>
      <c r="AF65" s="163"/>
      <c r="BD65" s="73"/>
      <c r="GF65" s="89"/>
      <c r="GG65" s="90"/>
      <c r="GH65" s="90"/>
      <c r="GI65" s="91"/>
      <c r="GJ65" s="91"/>
      <c r="GK65" s="90"/>
    </row>
    <row r="66" spans="1:193" x14ac:dyDescent="0.3">
      <c r="A66" s="135"/>
      <c r="B66" s="135"/>
      <c r="C66" s="135"/>
      <c r="D66" s="135"/>
      <c r="E66" s="135"/>
      <c r="F66" s="135"/>
      <c r="I66" s="131" t="s">
        <v>176</v>
      </c>
      <c r="K66" s="143">
        <v>2200</v>
      </c>
      <c r="L66" s="143">
        <v>150</v>
      </c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63"/>
      <c r="AG66" s="73"/>
      <c r="BD66" s="73"/>
      <c r="GF66" s="89"/>
      <c r="GG66" s="90"/>
      <c r="GH66" s="90"/>
      <c r="GI66" s="91"/>
      <c r="GJ66" s="91"/>
      <c r="GK66" s="90"/>
    </row>
    <row r="67" spans="1:193" x14ac:dyDescent="0.3">
      <c r="A67" s="135"/>
      <c r="B67" s="135"/>
      <c r="C67" s="135"/>
      <c r="D67" s="135"/>
      <c r="E67" s="135"/>
      <c r="F67" s="135"/>
      <c r="I67" s="135" t="s">
        <v>177</v>
      </c>
      <c r="J67" s="143"/>
      <c r="K67" s="143">
        <v>0</v>
      </c>
      <c r="L67" s="143">
        <v>2200</v>
      </c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63"/>
      <c r="AG67" s="73"/>
      <c r="BD67" s="73"/>
      <c r="GF67" s="89"/>
      <c r="GG67" s="90"/>
      <c r="GH67" s="90"/>
      <c r="GI67" s="91"/>
      <c r="GJ67" s="91"/>
      <c r="GK67" s="90"/>
    </row>
    <row r="68" spans="1:193" x14ac:dyDescent="0.3">
      <c r="A68" s="135"/>
      <c r="B68" s="135"/>
      <c r="C68" s="135"/>
      <c r="D68" s="135"/>
      <c r="E68" s="135"/>
      <c r="F68" s="135"/>
      <c r="I68" s="135" t="s">
        <v>178</v>
      </c>
      <c r="K68" s="143">
        <v>0</v>
      </c>
      <c r="L68" s="143">
        <v>2200</v>
      </c>
      <c r="U68" s="143"/>
      <c r="V68" s="143"/>
      <c r="W68" s="148"/>
      <c r="X68" s="143"/>
      <c r="Y68" s="143"/>
      <c r="Z68" s="143"/>
      <c r="AA68" s="143"/>
      <c r="AB68" s="148"/>
      <c r="AC68" s="143"/>
      <c r="AD68" s="143"/>
      <c r="AE68" s="143"/>
      <c r="AF68" s="163"/>
      <c r="AG68" s="88"/>
      <c r="AH68" s="73"/>
      <c r="BD68" s="73"/>
      <c r="GF68" s="89"/>
      <c r="GG68" s="90"/>
      <c r="GH68" s="90"/>
      <c r="GI68" s="91"/>
      <c r="GJ68" s="91"/>
      <c r="GK68" s="90"/>
    </row>
    <row r="69" spans="1:193" x14ac:dyDescent="0.3">
      <c r="A69" s="135"/>
      <c r="B69" s="135"/>
      <c r="C69" s="135"/>
      <c r="D69" s="135"/>
      <c r="E69" s="135"/>
      <c r="F69" s="135"/>
      <c r="U69" s="143"/>
      <c r="V69" s="148"/>
      <c r="W69" s="148"/>
      <c r="X69" s="143"/>
      <c r="Y69" s="143"/>
      <c r="Z69" s="143"/>
      <c r="AA69" s="148"/>
      <c r="AB69" s="148"/>
      <c r="AC69" s="143"/>
      <c r="AD69" s="143"/>
      <c r="AE69" s="143"/>
      <c r="AF69" s="163"/>
      <c r="AG69" s="88"/>
      <c r="AH69" s="73"/>
      <c r="BD69" s="73"/>
      <c r="GF69" s="89"/>
      <c r="GG69" s="90"/>
      <c r="GH69" s="90"/>
      <c r="GI69" s="91"/>
      <c r="GJ69" s="91"/>
      <c r="GK69" s="90"/>
    </row>
    <row r="70" spans="1:193" x14ac:dyDescent="0.3">
      <c r="A70" s="135"/>
      <c r="B70" s="135"/>
      <c r="C70" s="135"/>
      <c r="D70" s="135"/>
      <c r="E70" s="135"/>
      <c r="F70" s="135"/>
      <c r="I70" s="131" t="s">
        <v>180</v>
      </c>
      <c r="L70" s="143">
        <f>SUM(L61:L63)+SUM(L66:L68)</f>
        <v>40450</v>
      </c>
      <c r="U70" s="143"/>
      <c r="V70" s="143"/>
      <c r="W70" s="148"/>
      <c r="X70" s="143"/>
      <c r="Y70" s="143"/>
      <c r="Z70" s="143"/>
      <c r="AA70" s="143"/>
      <c r="AB70" s="148"/>
      <c r="AC70" s="143"/>
      <c r="AD70" s="143"/>
      <c r="AE70" s="143"/>
      <c r="AF70" s="163"/>
      <c r="AG70" s="88"/>
      <c r="AH70" s="73"/>
      <c r="GF70" s="89"/>
      <c r="GG70" s="90"/>
      <c r="GH70" s="90"/>
      <c r="GI70" s="91"/>
      <c r="GJ70" s="91"/>
      <c r="GK70" s="90"/>
    </row>
    <row r="71" spans="1:193" x14ac:dyDescent="0.3">
      <c r="A71" s="135"/>
      <c r="B71" s="135"/>
      <c r="C71" s="135"/>
      <c r="D71" s="135"/>
      <c r="E71" s="135"/>
      <c r="F71" s="135"/>
      <c r="T71" s="143"/>
      <c r="U71" s="143"/>
      <c r="Y71" s="143"/>
      <c r="Z71" s="143"/>
      <c r="AA71" s="143"/>
      <c r="AB71" s="148"/>
      <c r="AC71" s="143"/>
      <c r="AE71" s="143"/>
      <c r="AF71" s="163"/>
      <c r="AG71" s="88"/>
      <c r="AH71" s="73"/>
      <c r="GF71" s="89"/>
      <c r="GG71" s="90"/>
      <c r="GH71" s="90"/>
      <c r="GI71" s="91"/>
      <c r="GJ71" s="91"/>
      <c r="GK71" s="90"/>
    </row>
    <row r="72" spans="1:193" x14ac:dyDescent="0.3">
      <c r="A72" s="135"/>
      <c r="B72" s="135"/>
      <c r="C72" s="135"/>
      <c r="D72" s="135"/>
      <c r="E72" s="135"/>
      <c r="F72" s="135"/>
      <c r="I72" s="131" t="s">
        <v>181</v>
      </c>
      <c r="L72" s="143">
        <f>K52-SUM(GJ59:GJ1048576)+AE62+AB62</f>
        <v>12563229.170000007</v>
      </c>
      <c r="T72" s="143"/>
      <c r="U72" s="143"/>
      <c r="X72" s="143"/>
      <c r="Y72" s="143"/>
      <c r="Z72" s="143"/>
      <c r="AC72" s="143"/>
      <c r="AE72" s="143"/>
      <c r="AF72" s="163"/>
      <c r="AH72" s="73"/>
      <c r="GF72" s="89"/>
      <c r="GG72" s="90"/>
      <c r="GH72" s="90"/>
      <c r="GI72" s="91"/>
      <c r="GJ72" s="91"/>
      <c r="GK72" s="90"/>
    </row>
    <row r="73" spans="1:193" x14ac:dyDescent="0.3">
      <c r="A73" s="135"/>
      <c r="B73" s="135"/>
      <c r="C73" s="135"/>
      <c r="D73" s="135"/>
      <c r="E73" s="135"/>
      <c r="F73" s="135"/>
      <c r="L73" s="136"/>
      <c r="Z73" s="143"/>
      <c r="AC73" s="143"/>
      <c r="AE73" s="143"/>
      <c r="AF73" s="163"/>
      <c r="AH73" s="73"/>
      <c r="GF73" s="89"/>
      <c r="GG73" s="90"/>
      <c r="GH73" s="90"/>
      <c r="GI73" s="91"/>
      <c r="GJ73" s="91"/>
      <c r="GK73" s="90"/>
    </row>
    <row r="74" spans="1:193" x14ac:dyDescent="0.3">
      <c r="I74" s="131" t="s">
        <v>156</v>
      </c>
      <c r="L74" s="143">
        <v>25000</v>
      </c>
      <c r="S74" s="143"/>
      <c r="AF74" s="163"/>
      <c r="GF74" s="89"/>
      <c r="GG74" s="90"/>
      <c r="GH74" s="90"/>
      <c r="GI74" s="91"/>
      <c r="GJ74" s="91"/>
      <c r="GK74" s="90"/>
    </row>
    <row r="75" spans="1:193" x14ac:dyDescent="0.3">
      <c r="L75" s="143"/>
      <c r="S75" s="143"/>
      <c r="GF75" s="89"/>
      <c r="GG75" s="90"/>
      <c r="GH75" s="90"/>
      <c r="GI75" s="91"/>
      <c r="GJ75" s="91"/>
      <c r="GK75" s="90"/>
    </row>
    <row r="76" spans="1:193" x14ac:dyDescent="0.3">
      <c r="I76" s="131" t="s">
        <v>182</v>
      </c>
      <c r="L76" s="143">
        <v>5000</v>
      </c>
      <c r="GF76" s="89"/>
      <c r="GG76" s="90"/>
      <c r="GH76" s="90"/>
      <c r="GI76" s="91"/>
      <c r="GJ76" s="91"/>
      <c r="GK76" s="90"/>
    </row>
    <row r="77" spans="1:193" x14ac:dyDescent="0.3">
      <c r="E77" s="135"/>
      <c r="GF77" s="89"/>
      <c r="GG77" s="90"/>
      <c r="GH77" s="90"/>
      <c r="GI77" s="91"/>
      <c r="GJ77" s="91"/>
      <c r="GK77" s="90"/>
    </row>
    <row r="78" spans="1:193" x14ac:dyDescent="0.3">
      <c r="I78" s="131" t="s">
        <v>183</v>
      </c>
      <c r="L78" s="135">
        <f>L72/L76</f>
        <v>2512.6458340000013</v>
      </c>
      <c r="U78" s="143"/>
      <c r="V78" s="143"/>
      <c r="W78" s="143"/>
      <c r="GF78" s="89"/>
      <c r="GG78" s="90"/>
      <c r="GH78" s="90"/>
      <c r="GI78" s="91"/>
      <c r="GJ78" s="91"/>
      <c r="GK78" s="90"/>
    </row>
    <row r="79" spans="1:193" x14ac:dyDescent="0.3">
      <c r="U79" s="143"/>
      <c r="V79" s="143"/>
      <c r="W79" s="143"/>
      <c r="GF79" s="89"/>
      <c r="GG79" s="90"/>
      <c r="GH79" s="90"/>
      <c r="GI79" s="91"/>
      <c r="GJ79" s="91"/>
      <c r="GK79" s="90"/>
    </row>
    <row r="80" spans="1:193" x14ac:dyDescent="0.3">
      <c r="W80" s="143"/>
      <c r="GF80" s="89"/>
      <c r="GG80" s="90"/>
      <c r="GH80" s="90"/>
      <c r="GI80" s="91"/>
      <c r="GJ80" s="91"/>
      <c r="GK80" s="90"/>
    </row>
    <row r="81" spans="9:193" x14ac:dyDescent="0.3">
      <c r="W81" s="143"/>
      <c r="GF81" s="89"/>
      <c r="GG81" s="90"/>
      <c r="GH81" s="90"/>
      <c r="GI81" s="91"/>
      <c r="GJ81" s="91"/>
      <c r="GK81" s="90"/>
    </row>
    <row r="82" spans="9:193" x14ac:dyDescent="0.3">
      <c r="GF82" s="89"/>
      <c r="GG82" s="90"/>
      <c r="GH82" s="90"/>
      <c r="GI82" s="91"/>
      <c r="GJ82" s="91"/>
      <c r="GK82" s="90"/>
    </row>
    <row r="83" spans="9:193" x14ac:dyDescent="0.3">
      <c r="K83" s="131" t="s">
        <v>184</v>
      </c>
      <c r="P83" s="131" t="s">
        <v>185</v>
      </c>
      <c r="Q83" s="143">
        <f>(16000+5000+3000)*18</f>
        <v>432000</v>
      </c>
      <c r="S83" s="143"/>
      <c r="T83" s="143"/>
      <c r="V83" s="143"/>
      <c r="Z83" s="143"/>
      <c r="GF83" s="89"/>
      <c r="GG83" s="90"/>
      <c r="GH83" s="90"/>
      <c r="GI83" s="91"/>
      <c r="GJ83" s="91"/>
      <c r="GK83" s="90"/>
    </row>
    <row r="84" spans="9:193" x14ac:dyDescent="0.3">
      <c r="I84" s="131">
        <v>355</v>
      </c>
      <c r="J84" s="131">
        <v>400</v>
      </c>
      <c r="K84" s="143">
        <f>(J86-I84)*J84*330</f>
        <v>2640000</v>
      </c>
      <c r="U84" s="143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78"/>
      <c r="GF84" s="89"/>
      <c r="GG84" s="90"/>
      <c r="GH84" s="90"/>
      <c r="GI84" s="91"/>
      <c r="GJ84" s="91"/>
      <c r="GK84" s="90"/>
    </row>
    <row r="85" spans="9:193" x14ac:dyDescent="0.3">
      <c r="I85" s="131">
        <v>370</v>
      </c>
      <c r="J85" s="131">
        <v>-800</v>
      </c>
      <c r="K85" s="143">
        <f>(J86-I85)*J85*330</f>
        <v>-1320000</v>
      </c>
      <c r="P85" s="131" t="s">
        <v>186</v>
      </c>
      <c r="Q85" s="143">
        <f>282*330*-1</f>
        <v>-93060</v>
      </c>
      <c r="T85" s="143"/>
      <c r="U85" s="143"/>
      <c r="V85" s="143"/>
      <c r="GF85" s="89"/>
      <c r="GG85" s="90"/>
      <c r="GH85" s="90"/>
      <c r="GI85" s="91"/>
      <c r="GJ85" s="91"/>
      <c r="GK85" s="90"/>
    </row>
    <row r="86" spans="9:193" x14ac:dyDescent="0.3">
      <c r="I86" s="131" t="s">
        <v>187</v>
      </c>
      <c r="J86" s="131">
        <v>375</v>
      </c>
      <c r="S86" s="143"/>
      <c r="U86" s="143"/>
      <c r="Z86" s="135"/>
      <c r="GF86" s="89"/>
      <c r="GG86" s="90"/>
      <c r="GH86" s="90"/>
      <c r="GI86" s="91"/>
      <c r="GJ86" s="91"/>
      <c r="GK86" s="90"/>
    </row>
    <row r="87" spans="9:193" x14ac:dyDescent="0.3">
      <c r="P87" s="131" t="s">
        <v>188</v>
      </c>
      <c r="Q87" s="143">
        <f>Q83+Q85</f>
        <v>338940</v>
      </c>
      <c r="S87" s="143"/>
      <c r="V87" s="143"/>
      <c r="GF87" s="89"/>
      <c r="GG87" s="90"/>
      <c r="GH87" s="90"/>
      <c r="GI87" s="91"/>
      <c r="GJ87" s="91"/>
      <c r="GK87" s="90"/>
    </row>
    <row r="88" spans="9:193" x14ac:dyDescent="0.3">
      <c r="K88" s="131">
        <f>320/5.65</f>
        <v>56.637168141592916</v>
      </c>
      <c r="L88" s="136"/>
      <c r="S88" s="143"/>
      <c r="U88" s="143"/>
      <c r="V88" s="143"/>
      <c r="GF88" s="89"/>
      <c r="GG88" s="90"/>
      <c r="GH88" s="90"/>
      <c r="GI88" s="91"/>
      <c r="GJ88" s="91"/>
      <c r="GK88" s="90"/>
    </row>
    <row r="89" spans="9:193" x14ac:dyDescent="0.3">
      <c r="K89" s="131">
        <f>72*5.5</f>
        <v>396</v>
      </c>
      <c r="P89" s="131" t="s">
        <v>189</v>
      </c>
      <c r="Q89" s="143">
        <f>Q87*345</f>
        <v>116934300</v>
      </c>
      <c r="S89" s="143"/>
      <c r="V89" s="143"/>
      <c r="GF89" s="89"/>
      <c r="GG89" s="90"/>
      <c r="GH89" s="90"/>
      <c r="GI89" s="91"/>
      <c r="GJ89" s="91"/>
      <c r="GK89" s="90"/>
    </row>
    <row r="90" spans="9:193" x14ac:dyDescent="0.3">
      <c r="S90" s="143"/>
      <c r="GF90" s="89"/>
      <c r="GG90" s="90"/>
      <c r="GH90" s="90"/>
      <c r="GI90" s="91"/>
      <c r="GJ90" s="91"/>
      <c r="GK90" s="90"/>
    </row>
    <row r="91" spans="9:193" x14ac:dyDescent="0.3">
      <c r="P91" s="131" t="s">
        <v>190</v>
      </c>
      <c r="Q91" s="143">
        <f>Q83*330</f>
        <v>142560000</v>
      </c>
      <c r="T91" s="143"/>
      <c r="U91" s="143"/>
      <c r="V91" s="143"/>
      <c r="GF91" s="89"/>
      <c r="GG91" s="90"/>
      <c r="GH91" s="90"/>
      <c r="GI91" s="91"/>
      <c r="GJ91" s="91"/>
      <c r="GK91" s="90"/>
    </row>
    <row r="92" spans="9:193" x14ac:dyDescent="0.3">
      <c r="GF92" s="89"/>
      <c r="GG92" s="90"/>
      <c r="GH92" s="90"/>
      <c r="GI92" s="91"/>
      <c r="GJ92" s="91"/>
      <c r="GK92" s="90"/>
    </row>
    <row r="93" spans="9:193" x14ac:dyDescent="0.3">
      <c r="I93" s="131" t="s">
        <v>191</v>
      </c>
      <c r="J93" s="131">
        <v>5500</v>
      </c>
      <c r="P93" s="131" t="s">
        <v>192</v>
      </c>
      <c r="Q93" s="143">
        <f>Q83*365</f>
        <v>157680000</v>
      </c>
      <c r="T93" s="143"/>
      <c r="BD93" s="73"/>
      <c r="GF93" s="89"/>
      <c r="GG93" s="90"/>
      <c r="GH93" s="90"/>
      <c r="GI93" s="91"/>
      <c r="GJ93" s="91"/>
      <c r="GK93" s="90"/>
    </row>
    <row r="94" spans="9:193" x14ac:dyDescent="0.3">
      <c r="I94" s="131" t="s">
        <v>193</v>
      </c>
      <c r="J94" s="131">
        <f>3200+1000</f>
        <v>4200</v>
      </c>
      <c r="T94" s="143"/>
      <c r="BD94" s="73"/>
      <c r="GF94" s="89"/>
      <c r="GG94" s="90"/>
      <c r="GH94" s="90"/>
      <c r="GI94" s="91"/>
      <c r="GJ94" s="91"/>
      <c r="GK94" s="90"/>
    </row>
    <row r="95" spans="9:193" x14ac:dyDescent="0.3">
      <c r="I95" s="131" t="s">
        <v>194</v>
      </c>
      <c r="J95" s="131">
        <v>1125</v>
      </c>
      <c r="P95" s="131" t="s">
        <v>195</v>
      </c>
      <c r="Q95" s="143">
        <f>Q93-Q91</f>
        <v>15120000</v>
      </c>
      <c r="BD95" s="73"/>
      <c r="GF95" s="89"/>
      <c r="GG95" s="90"/>
      <c r="GH95" s="90"/>
      <c r="GI95" s="91"/>
      <c r="GJ95" s="91"/>
      <c r="GK95" s="90"/>
    </row>
    <row r="96" spans="9:193" x14ac:dyDescent="0.3">
      <c r="I96" s="131" t="s">
        <v>196</v>
      </c>
      <c r="J96" s="131">
        <v>5000</v>
      </c>
      <c r="BD96" s="73"/>
      <c r="GF96" s="89"/>
      <c r="GG96" s="90"/>
      <c r="GH96" s="90"/>
      <c r="GI96" s="91"/>
      <c r="GJ96" s="91"/>
      <c r="GK96" s="90"/>
    </row>
    <row r="97" spans="10:193" x14ac:dyDescent="0.3">
      <c r="J97" s="131">
        <f>SUM(J93:J96)</f>
        <v>15825</v>
      </c>
      <c r="BD97" s="73"/>
      <c r="GF97" s="89"/>
      <c r="GG97" s="90"/>
      <c r="GH97" s="90"/>
      <c r="GI97" s="91"/>
      <c r="GJ97" s="91"/>
      <c r="GK97" s="90"/>
    </row>
    <row r="98" spans="10:193" x14ac:dyDescent="0.3">
      <c r="BD98" s="73"/>
      <c r="GF98" s="89"/>
      <c r="GG98" s="90"/>
      <c r="GH98" s="90"/>
      <c r="GI98" s="91"/>
      <c r="GJ98" s="91"/>
      <c r="GK98" s="90"/>
    </row>
    <row r="99" spans="10:193" x14ac:dyDescent="0.3">
      <c r="P99" s="143" t="s">
        <v>197</v>
      </c>
      <c r="T99" s="131" t="s">
        <v>198</v>
      </c>
      <c r="BD99" s="73"/>
      <c r="GF99" s="89"/>
      <c r="GG99" s="90"/>
      <c r="GH99" s="90"/>
      <c r="GI99" s="91"/>
      <c r="GJ99" s="91"/>
      <c r="GK99" s="90"/>
    </row>
    <row r="100" spans="10:193" x14ac:dyDescent="0.3">
      <c r="BD100" s="73"/>
      <c r="GF100" s="89"/>
      <c r="GG100" s="90"/>
      <c r="GH100" s="90"/>
      <c r="GI100" s="91"/>
      <c r="GJ100" s="91"/>
      <c r="GK100" s="90"/>
    </row>
    <row r="101" spans="10:193" x14ac:dyDescent="0.3">
      <c r="P101" s="149" t="s">
        <v>32</v>
      </c>
      <c r="Q101" s="150">
        <f>Q102*Q103*Q104</f>
        <v>112000000</v>
      </c>
      <c r="T101" s="131" t="s">
        <v>199</v>
      </c>
      <c r="X101" s="139" t="s">
        <v>200</v>
      </c>
      <c r="BD101" s="73"/>
      <c r="GF101" s="89"/>
      <c r="GG101" s="90"/>
      <c r="GH101" s="90"/>
      <c r="GI101" s="91"/>
      <c r="GJ101" s="91"/>
      <c r="GK101" s="90"/>
    </row>
    <row r="102" spans="10:193" x14ac:dyDescent="0.3">
      <c r="J102" s="139" t="s">
        <v>201</v>
      </c>
      <c r="M102" s="139"/>
      <c r="N102" s="139"/>
      <c r="O102" s="139"/>
      <c r="P102" s="131" t="s">
        <v>202</v>
      </c>
      <c r="Q102" s="143">
        <v>20000</v>
      </c>
      <c r="T102" s="131" t="s">
        <v>203</v>
      </c>
      <c r="X102" s="139" t="s">
        <v>204</v>
      </c>
      <c r="BD102" s="73"/>
      <c r="GF102" s="89"/>
      <c r="GG102" s="90"/>
      <c r="GH102" s="90"/>
      <c r="GI102" s="91"/>
      <c r="GJ102" s="91"/>
      <c r="GK102" s="90"/>
    </row>
    <row r="103" spans="10:193" x14ac:dyDescent="0.3">
      <c r="J103" s="139" t="s">
        <v>205</v>
      </c>
      <c r="P103" s="131" t="s">
        <v>206</v>
      </c>
      <c r="Q103" s="131">
        <v>20</v>
      </c>
      <c r="T103" s="131" t="s">
        <v>207</v>
      </c>
      <c r="X103" s="139" t="s">
        <v>208</v>
      </c>
      <c r="BD103" s="73"/>
      <c r="GF103" s="89"/>
      <c r="GG103" s="90"/>
      <c r="GH103" s="90"/>
      <c r="GI103" s="91"/>
      <c r="GJ103" s="91"/>
      <c r="GK103" s="90"/>
    </row>
    <row r="104" spans="10:193" x14ac:dyDescent="0.3">
      <c r="J104" s="139" t="s">
        <v>209</v>
      </c>
      <c r="P104" s="131" t="s">
        <v>210</v>
      </c>
      <c r="Q104" s="131">
        <v>280</v>
      </c>
      <c r="T104" s="131" t="s">
        <v>211</v>
      </c>
      <c r="X104" s="139" t="s">
        <v>212</v>
      </c>
      <c r="GF104" s="89"/>
      <c r="GG104" s="90"/>
      <c r="GH104" s="90"/>
      <c r="GI104" s="91"/>
      <c r="GJ104" s="91"/>
      <c r="GK104" s="90"/>
    </row>
    <row r="105" spans="10:193" x14ac:dyDescent="0.3">
      <c r="J105" s="139" t="s">
        <v>213</v>
      </c>
      <c r="T105" s="131" t="s">
        <v>214</v>
      </c>
      <c r="X105" s="139" t="s">
        <v>215</v>
      </c>
      <c r="GF105" s="89"/>
      <c r="GG105" s="90"/>
      <c r="GH105" s="90"/>
      <c r="GI105" s="91"/>
      <c r="GJ105" s="91"/>
      <c r="GK105" s="90"/>
    </row>
    <row r="106" spans="10:193" x14ac:dyDescent="0.3">
      <c r="T106" s="131" t="s">
        <v>216</v>
      </c>
      <c r="X106" s="139" t="s">
        <v>217</v>
      </c>
      <c r="GF106" s="89"/>
      <c r="GG106" s="90"/>
      <c r="GH106" s="90"/>
      <c r="GI106" s="91"/>
      <c r="GJ106" s="91"/>
      <c r="GK106" s="90"/>
    </row>
    <row r="107" spans="10:193" x14ac:dyDescent="0.3">
      <c r="J107" s="139" t="s">
        <v>206</v>
      </c>
      <c r="L107" s="136"/>
      <c r="T107" s="131" t="s">
        <v>218</v>
      </c>
      <c r="X107" s="139" t="s">
        <v>219</v>
      </c>
      <c r="GF107" s="89"/>
      <c r="GG107" s="90"/>
      <c r="GH107" s="90"/>
      <c r="GI107" s="91"/>
      <c r="GJ107" s="91"/>
      <c r="GK107" s="90"/>
    </row>
    <row r="108" spans="10:193" x14ac:dyDescent="0.3">
      <c r="J108" s="139" t="s">
        <v>220</v>
      </c>
      <c r="P108" s="131" t="s">
        <v>221</v>
      </c>
      <c r="GF108" s="89"/>
      <c r="GG108" s="90"/>
      <c r="GH108" s="90"/>
      <c r="GI108" s="91"/>
      <c r="GJ108" s="91"/>
      <c r="GK108" s="90"/>
    </row>
    <row r="109" spans="10:193" x14ac:dyDescent="0.3">
      <c r="J109" s="139" t="s">
        <v>222</v>
      </c>
      <c r="GF109" s="89"/>
      <c r="GG109" s="90"/>
      <c r="GH109" s="90"/>
      <c r="GI109" s="91"/>
      <c r="GJ109" s="91"/>
      <c r="GK109" s="90"/>
    </row>
    <row r="110" spans="10:193" x14ac:dyDescent="0.3">
      <c r="J110" s="139" t="s">
        <v>223</v>
      </c>
      <c r="GF110" s="89"/>
      <c r="GG110" s="90"/>
      <c r="GH110" s="90"/>
      <c r="GI110" s="91"/>
      <c r="GJ110" s="91"/>
      <c r="GK110" s="90"/>
    </row>
    <row r="111" spans="10:193" x14ac:dyDescent="0.3">
      <c r="J111" s="139" t="s">
        <v>224</v>
      </c>
      <c r="P111" s="143">
        <f>20*Q104</f>
        <v>5600</v>
      </c>
      <c r="GF111" s="89"/>
      <c r="GG111" s="90"/>
      <c r="GH111" s="91"/>
      <c r="GI111" s="91"/>
      <c r="GJ111" s="91"/>
      <c r="GK111" s="90"/>
    </row>
    <row r="112" spans="10:193" x14ac:dyDescent="0.3">
      <c r="J112" s="139" t="s">
        <v>225</v>
      </c>
      <c r="P112" s="143">
        <v>-4000</v>
      </c>
      <c r="GF112" s="89"/>
      <c r="GG112" s="90"/>
      <c r="GH112" s="90"/>
      <c r="GI112" s="91"/>
      <c r="GJ112" s="91"/>
      <c r="GK112" s="90"/>
    </row>
    <row r="113" spans="10:193" x14ac:dyDescent="0.3">
      <c r="J113" s="139"/>
      <c r="O113" s="131" t="s">
        <v>226</v>
      </c>
      <c r="P113" s="131">
        <v>-1200</v>
      </c>
      <c r="GF113" s="89"/>
      <c r="GG113" s="90"/>
      <c r="GH113" s="90"/>
      <c r="GI113" s="91"/>
      <c r="GJ113" s="91"/>
      <c r="GK113" s="90"/>
    </row>
    <row r="114" spans="10:193" x14ac:dyDescent="0.3">
      <c r="J114" s="139" t="s">
        <v>227</v>
      </c>
      <c r="P114" s="131">
        <f>SUM(P111:P113)</f>
        <v>400</v>
      </c>
      <c r="GF114" s="89"/>
      <c r="GG114" s="90"/>
      <c r="GH114" s="90"/>
      <c r="GI114" s="91"/>
      <c r="GJ114" s="91"/>
      <c r="GK114" s="90"/>
    </row>
    <row r="115" spans="10:193" x14ac:dyDescent="0.3">
      <c r="J115" s="139" t="s">
        <v>228</v>
      </c>
      <c r="P115" s="147">
        <f>P114/P111</f>
        <v>7.1428571428571425E-2</v>
      </c>
      <c r="GF115" s="89"/>
      <c r="GG115" s="90"/>
      <c r="GH115" s="90"/>
      <c r="GI115" s="91"/>
      <c r="GJ115" s="91"/>
      <c r="GK115" s="90"/>
    </row>
    <row r="116" spans="10:193" x14ac:dyDescent="0.3">
      <c r="J116" s="139" t="s">
        <v>229</v>
      </c>
      <c r="GF116" s="89"/>
      <c r="GG116" s="90"/>
      <c r="GH116" s="90"/>
      <c r="GI116" s="91"/>
      <c r="GJ116" s="91"/>
      <c r="GK116" s="90"/>
    </row>
    <row r="117" spans="10:193" x14ac:dyDescent="0.3">
      <c r="J117" s="139" t="s">
        <v>230</v>
      </c>
      <c r="O117" s="131" t="s">
        <v>231</v>
      </c>
      <c r="GF117" s="89"/>
      <c r="GG117" s="90"/>
      <c r="GH117" s="90"/>
      <c r="GI117" s="91"/>
      <c r="GJ117" s="91"/>
      <c r="GK117" s="90"/>
    </row>
    <row r="118" spans="10:193" x14ac:dyDescent="0.3">
      <c r="J118" s="139" t="s">
        <v>232</v>
      </c>
      <c r="GF118" s="89"/>
      <c r="GG118" s="90"/>
      <c r="GH118" s="90"/>
      <c r="GI118" s="91"/>
      <c r="GJ118" s="91"/>
      <c r="GK118" s="90"/>
    </row>
    <row r="119" spans="10:193" x14ac:dyDescent="0.3">
      <c r="GF119" s="89"/>
      <c r="GG119" s="90"/>
      <c r="GH119" s="90"/>
      <c r="GI119" s="91"/>
      <c r="GJ119" s="91"/>
      <c r="GK119" s="90"/>
    </row>
    <row r="120" spans="10:193" x14ac:dyDescent="0.3">
      <c r="GF120" s="89"/>
      <c r="GG120" s="90"/>
      <c r="GH120" s="90"/>
      <c r="GI120" s="91"/>
      <c r="GJ120" s="91"/>
      <c r="GK120" s="90"/>
    </row>
    <row r="121" spans="10:193" x14ac:dyDescent="0.3">
      <c r="GF121" s="89"/>
      <c r="GG121" s="90"/>
      <c r="GH121" s="90"/>
      <c r="GI121" s="91"/>
      <c r="GJ121" s="91"/>
      <c r="GK121" s="90"/>
    </row>
    <row r="122" spans="10:193" x14ac:dyDescent="0.3">
      <c r="T122" s="131" t="s">
        <v>233</v>
      </c>
      <c r="U122" s="151">
        <v>45596</v>
      </c>
      <c r="V122" s="131" t="s">
        <v>234</v>
      </c>
      <c r="W122" s="131" t="s">
        <v>235</v>
      </c>
      <c r="X122" s="151">
        <v>45688</v>
      </c>
      <c r="Y122" s="143">
        <v>3020</v>
      </c>
      <c r="Z122" s="131">
        <v>20</v>
      </c>
      <c r="AA122" s="143">
        <v>20790</v>
      </c>
      <c r="AB122" s="131">
        <v>314</v>
      </c>
      <c r="AC122" s="131" t="s">
        <v>236</v>
      </c>
      <c r="AD122" s="143">
        <v>60390</v>
      </c>
      <c r="AE122" s="131" t="s">
        <v>237</v>
      </c>
      <c r="GF122" s="89"/>
      <c r="GG122" s="90"/>
      <c r="GH122" s="90"/>
      <c r="GI122" s="91"/>
      <c r="GJ122" s="91"/>
      <c r="GK122" s="90"/>
    </row>
    <row r="123" spans="10:193" x14ac:dyDescent="0.3">
      <c r="T123" s="131" t="s">
        <v>233</v>
      </c>
      <c r="U123" s="151">
        <v>45617</v>
      </c>
      <c r="V123" s="131" t="s">
        <v>234</v>
      </c>
      <c r="W123" s="131" t="s">
        <v>238</v>
      </c>
      <c r="X123" s="151">
        <v>45688</v>
      </c>
      <c r="Y123" s="143">
        <v>1238</v>
      </c>
      <c r="Z123" s="131">
        <v>20</v>
      </c>
      <c r="AA123" s="143">
        <v>24750</v>
      </c>
      <c r="AB123" s="131">
        <v>328.95</v>
      </c>
      <c r="AC123" s="131" t="s">
        <v>236</v>
      </c>
      <c r="AD123" s="143">
        <v>24750</v>
      </c>
      <c r="AE123" s="131" t="s">
        <v>237</v>
      </c>
      <c r="GF123" s="89"/>
      <c r="GG123" s="90"/>
      <c r="GH123" s="90"/>
      <c r="GI123" s="91"/>
      <c r="GJ123" s="91"/>
      <c r="GK123" s="90"/>
    </row>
    <row r="124" spans="10:193" x14ac:dyDescent="0.3">
      <c r="J124" s="143"/>
      <c r="N124" s="152" t="s">
        <v>239</v>
      </c>
      <c r="O124" s="153">
        <f>SUM(Q126:Q130)</f>
        <v>50250</v>
      </c>
      <c r="T124" s="131" t="s">
        <v>233</v>
      </c>
      <c r="U124" s="151">
        <v>45607</v>
      </c>
      <c r="V124" s="131" t="s">
        <v>234</v>
      </c>
      <c r="W124" s="131" t="s">
        <v>240</v>
      </c>
      <c r="X124" s="151">
        <v>45716</v>
      </c>
      <c r="Y124" s="131">
        <v>825</v>
      </c>
      <c r="Z124" s="131">
        <v>20</v>
      </c>
      <c r="AA124" s="143">
        <v>16500</v>
      </c>
      <c r="AB124" s="131">
        <v>317</v>
      </c>
      <c r="AC124" s="131" t="s">
        <v>236</v>
      </c>
      <c r="AD124" s="143">
        <v>16500</v>
      </c>
      <c r="AE124" s="131" t="s">
        <v>241</v>
      </c>
      <c r="GF124" s="89"/>
      <c r="GG124" s="90"/>
      <c r="GH124" s="90"/>
      <c r="GI124" s="91"/>
      <c r="GJ124" s="91"/>
      <c r="GK124" s="90"/>
    </row>
    <row r="125" spans="10:193" x14ac:dyDescent="0.3">
      <c r="J125" s="143"/>
      <c r="N125" s="152" t="s">
        <v>242</v>
      </c>
      <c r="O125" s="131" t="s">
        <v>243</v>
      </c>
      <c r="P125" s="131" t="s">
        <v>244</v>
      </c>
      <c r="T125" s="131" t="s">
        <v>233</v>
      </c>
      <c r="U125" s="151">
        <v>45607</v>
      </c>
      <c r="V125" s="131" t="s">
        <v>234</v>
      </c>
      <c r="W125" s="131" t="s">
        <v>240</v>
      </c>
      <c r="X125" s="151">
        <v>45716</v>
      </c>
      <c r="Y125" s="131">
        <v>825</v>
      </c>
      <c r="Z125" s="131">
        <v>20</v>
      </c>
      <c r="AA125" s="143">
        <v>16500</v>
      </c>
      <c r="AB125" s="131">
        <v>316.14999999999998</v>
      </c>
      <c r="AC125" s="131" t="s">
        <v>236</v>
      </c>
      <c r="AD125" s="143">
        <v>16500</v>
      </c>
      <c r="AE125" s="131" t="s">
        <v>241</v>
      </c>
      <c r="GF125" s="89"/>
      <c r="GG125" s="90"/>
      <c r="GH125" s="90"/>
      <c r="GI125" s="91"/>
      <c r="GJ125" s="91"/>
      <c r="GK125" s="90"/>
    </row>
    <row r="126" spans="10:193" x14ac:dyDescent="0.3">
      <c r="N126" s="131" t="s">
        <v>245</v>
      </c>
      <c r="O126" s="143">
        <v>500</v>
      </c>
      <c r="P126" s="131">
        <v>15.5</v>
      </c>
      <c r="Q126" s="143">
        <f>O126*P126</f>
        <v>7750</v>
      </c>
      <c r="T126" s="131" t="s">
        <v>233</v>
      </c>
      <c r="U126" s="151">
        <v>45617</v>
      </c>
      <c r="V126" s="131" t="s">
        <v>234</v>
      </c>
      <c r="W126" s="131" t="s">
        <v>238</v>
      </c>
      <c r="X126" s="151">
        <v>45716</v>
      </c>
      <c r="Y126" s="143">
        <v>1485</v>
      </c>
      <c r="Z126" s="131">
        <v>20</v>
      </c>
      <c r="AA126" s="143">
        <v>29700</v>
      </c>
      <c r="AB126" s="131">
        <v>321.35000000000002</v>
      </c>
      <c r="AC126" s="131" t="s">
        <v>236</v>
      </c>
      <c r="AD126" s="143">
        <v>29700</v>
      </c>
      <c r="AE126" s="131" t="s">
        <v>241</v>
      </c>
      <c r="GF126" s="89"/>
      <c r="GG126" s="90"/>
      <c r="GH126" s="90"/>
      <c r="GI126" s="91"/>
      <c r="GJ126" s="91"/>
      <c r="GK126" s="90"/>
    </row>
    <row r="127" spans="10:193" x14ac:dyDescent="0.3">
      <c r="N127" s="131" t="s">
        <v>246</v>
      </c>
      <c r="O127" s="143">
        <v>615</v>
      </c>
      <c r="P127" s="131">
        <v>16</v>
      </c>
      <c r="Q127" s="143">
        <f t="shared" ref="Q127:Q130" si="0">O127*P127</f>
        <v>9840</v>
      </c>
      <c r="T127" s="131" t="s">
        <v>233</v>
      </c>
      <c r="U127" s="151">
        <v>45617</v>
      </c>
      <c r="V127" s="131" t="s">
        <v>234</v>
      </c>
      <c r="W127" s="131" t="s">
        <v>238</v>
      </c>
      <c r="X127" s="151">
        <v>45716</v>
      </c>
      <c r="Y127" s="143">
        <v>2063</v>
      </c>
      <c r="Z127" s="131">
        <v>20</v>
      </c>
      <c r="AA127" s="143">
        <v>41250</v>
      </c>
      <c r="AB127" s="131">
        <v>337</v>
      </c>
      <c r="AC127" s="131" t="s">
        <v>236</v>
      </c>
      <c r="AD127" s="143">
        <v>41250</v>
      </c>
      <c r="AE127" s="131" t="s">
        <v>241</v>
      </c>
      <c r="GF127" s="89"/>
      <c r="GG127" s="90"/>
      <c r="GH127" s="90"/>
      <c r="GI127" s="91"/>
      <c r="GJ127" s="91"/>
      <c r="GK127" s="90"/>
    </row>
    <row r="128" spans="10:193" x14ac:dyDescent="0.3">
      <c r="J128" s="143"/>
      <c r="N128" s="131" t="s">
        <v>247</v>
      </c>
      <c r="O128" s="143">
        <v>750</v>
      </c>
      <c r="P128" s="131">
        <v>19</v>
      </c>
      <c r="Q128" s="143">
        <f t="shared" si="0"/>
        <v>14250</v>
      </c>
      <c r="T128" s="131" t="s">
        <v>233</v>
      </c>
      <c r="U128" s="151">
        <v>45618</v>
      </c>
      <c r="V128" s="131" t="s">
        <v>234</v>
      </c>
      <c r="W128" s="131" t="s">
        <v>248</v>
      </c>
      <c r="X128" s="151">
        <v>45716</v>
      </c>
      <c r="Y128" s="143">
        <v>3713</v>
      </c>
      <c r="Z128" s="131">
        <v>20</v>
      </c>
      <c r="AA128" s="143">
        <v>74250</v>
      </c>
      <c r="AB128" s="131">
        <v>336.15</v>
      </c>
      <c r="AC128" s="131" t="s">
        <v>236</v>
      </c>
      <c r="AD128" s="143">
        <v>74250</v>
      </c>
      <c r="AE128" s="131" t="s">
        <v>241</v>
      </c>
      <c r="GF128" s="89"/>
      <c r="GG128" s="90"/>
      <c r="GH128" s="90"/>
      <c r="GI128" s="91"/>
      <c r="GJ128" s="91"/>
      <c r="GK128" s="90"/>
    </row>
    <row r="129" spans="1:193" x14ac:dyDescent="0.3">
      <c r="J129" s="143"/>
      <c r="N129" s="131" t="s">
        <v>249</v>
      </c>
      <c r="O129" s="143">
        <v>700</v>
      </c>
      <c r="P129" s="131">
        <v>15.5</v>
      </c>
      <c r="Q129" s="143">
        <f t="shared" si="0"/>
        <v>10850</v>
      </c>
      <c r="T129" s="131" t="s">
        <v>233</v>
      </c>
      <c r="U129" s="151">
        <v>45607</v>
      </c>
      <c r="V129" s="131" t="s">
        <v>234</v>
      </c>
      <c r="W129" s="131" t="s">
        <v>240</v>
      </c>
      <c r="X129" s="151">
        <v>45747</v>
      </c>
      <c r="Y129" s="131">
        <v>165</v>
      </c>
      <c r="Z129" s="131">
        <v>20</v>
      </c>
      <c r="AA129" s="143">
        <v>3300</v>
      </c>
      <c r="AB129" s="131">
        <v>317</v>
      </c>
      <c r="AC129" s="131" t="s">
        <v>236</v>
      </c>
      <c r="AD129" s="143">
        <v>3300</v>
      </c>
      <c r="AE129" s="131" t="s">
        <v>250</v>
      </c>
      <c r="GF129" s="89"/>
      <c r="GG129" s="90"/>
      <c r="GH129" s="90"/>
      <c r="GI129" s="91"/>
      <c r="GJ129" s="91"/>
      <c r="GK129" s="90"/>
    </row>
    <row r="130" spans="1:193" x14ac:dyDescent="0.3">
      <c r="N130" s="131" t="s">
        <v>251</v>
      </c>
      <c r="O130" s="143">
        <v>360</v>
      </c>
      <c r="P130" s="131">
        <v>21</v>
      </c>
      <c r="Q130" s="143">
        <f t="shared" si="0"/>
        <v>7560</v>
      </c>
      <c r="T130" s="131" t="s">
        <v>233</v>
      </c>
      <c r="U130" s="151">
        <v>45583</v>
      </c>
      <c r="V130" s="131" t="s">
        <v>234</v>
      </c>
      <c r="W130" s="131" t="s">
        <v>252</v>
      </c>
      <c r="X130" s="151">
        <v>45657</v>
      </c>
      <c r="Y130" s="143">
        <v>1905</v>
      </c>
      <c r="Z130" s="131">
        <v>20</v>
      </c>
      <c r="AA130" s="143">
        <v>38098</v>
      </c>
      <c r="AB130" s="131">
        <v>304.82</v>
      </c>
      <c r="AC130" s="131" t="s">
        <v>236</v>
      </c>
      <c r="AD130" s="143">
        <v>38098</v>
      </c>
      <c r="AE130" s="131" t="s">
        <v>253</v>
      </c>
      <c r="GF130" s="89"/>
      <c r="GG130" s="90"/>
      <c r="GH130" s="90"/>
      <c r="GI130" s="91"/>
      <c r="GJ130" s="91"/>
      <c r="GK130" s="90"/>
    </row>
    <row r="131" spans="1:193" x14ac:dyDescent="0.3">
      <c r="GF131" s="89"/>
      <c r="GG131" s="90"/>
      <c r="GH131" s="90"/>
      <c r="GI131" s="91"/>
      <c r="GJ131" s="91"/>
      <c r="GK131" s="90"/>
    </row>
    <row r="132" spans="1:193" x14ac:dyDescent="0.3">
      <c r="N132" s="152" t="s">
        <v>254</v>
      </c>
      <c r="O132" s="153">
        <f>SUM(Q134:Q138)</f>
        <v>37404.016000000003</v>
      </c>
      <c r="GF132" s="89"/>
      <c r="GG132" s="90"/>
      <c r="GH132" s="90"/>
      <c r="GI132" s="91"/>
      <c r="GJ132" s="91"/>
      <c r="GK132" s="90"/>
    </row>
    <row r="133" spans="1:193" x14ac:dyDescent="0.3">
      <c r="N133" s="152" t="s">
        <v>242</v>
      </c>
      <c r="O133" s="143" t="s">
        <v>243</v>
      </c>
      <c r="P133" s="131" t="s">
        <v>244</v>
      </c>
      <c r="GF133" s="89"/>
      <c r="GG133" s="90"/>
      <c r="GH133" s="90"/>
      <c r="GI133" s="91"/>
      <c r="GJ133" s="91"/>
      <c r="GK133" s="90"/>
    </row>
    <row r="134" spans="1:193" x14ac:dyDescent="0.3">
      <c r="N134" s="131" t="s">
        <v>245</v>
      </c>
      <c r="O134" s="143">
        <v>639</v>
      </c>
      <c r="P134" s="131">
        <v>15.5</v>
      </c>
      <c r="Q134" s="143">
        <f>O134*P134</f>
        <v>9904.5</v>
      </c>
      <c r="GF134" s="89"/>
      <c r="GG134" s="90"/>
      <c r="GH134" s="90"/>
      <c r="GI134" s="91"/>
      <c r="GJ134" s="91"/>
      <c r="GK134" s="90"/>
    </row>
    <row r="135" spans="1:193" x14ac:dyDescent="0.3">
      <c r="N135" s="131" t="s">
        <v>246</v>
      </c>
      <c r="O135" s="143">
        <v>1E-3</v>
      </c>
      <c r="P135" s="131">
        <v>16</v>
      </c>
      <c r="Q135" s="143">
        <f t="shared" ref="Q135:Q138" si="1">O135*P135</f>
        <v>1.6E-2</v>
      </c>
      <c r="GF135" s="89"/>
      <c r="GG135" s="90"/>
      <c r="GH135" s="90"/>
      <c r="GI135" s="91"/>
      <c r="GJ135" s="91"/>
      <c r="GK135" s="90"/>
    </row>
    <row r="136" spans="1:193" x14ac:dyDescent="0.3">
      <c r="N136" s="131" t="s">
        <v>247</v>
      </c>
      <c r="O136" s="143">
        <v>795</v>
      </c>
      <c r="P136" s="131">
        <v>19</v>
      </c>
      <c r="Q136" s="143">
        <f t="shared" si="1"/>
        <v>15105</v>
      </c>
      <c r="GF136" s="89"/>
      <c r="GG136" s="90"/>
      <c r="GH136" s="90"/>
      <c r="GI136" s="91"/>
      <c r="GJ136" s="91"/>
      <c r="GK136" s="90"/>
    </row>
    <row r="137" spans="1:193" x14ac:dyDescent="0.3">
      <c r="A137" s="131">
        <v>0</v>
      </c>
      <c r="N137" s="131" t="s">
        <v>249</v>
      </c>
      <c r="O137" s="143">
        <f>O136*0.9</f>
        <v>715.5</v>
      </c>
      <c r="P137" s="131">
        <v>17</v>
      </c>
      <c r="Q137" s="143">
        <f t="shared" si="1"/>
        <v>12163.5</v>
      </c>
      <c r="GF137" s="89"/>
      <c r="GG137" s="90"/>
      <c r="GH137" s="90"/>
      <c r="GI137" s="91"/>
      <c r="GJ137" s="91"/>
      <c r="GK137" s="90"/>
    </row>
    <row r="138" spans="1:193" x14ac:dyDescent="0.3">
      <c r="N138" s="131" t="s">
        <v>251</v>
      </c>
      <c r="O138" s="131">
        <v>11</v>
      </c>
      <c r="P138" s="131">
        <v>21</v>
      </c>
      <c r="Q138" s="143">
        <f t="shared" si="1"/>
        <v>231</v>
      </c>
      <c r="GF138" s="89"/>
      <c r="GG138" s="90"/>
      <c r="GH138" s="90"/>
      <c r="GI138" s="91"/>
      <c r="GJ138" s="91"/>
      <c r="GK138" s="90"/>
    </row>
    <row r="139" spans="1:193" x14ac:dyDescent="0.3">
      <c r="GF139" s="89"/>
      <c r="GG139" s="90"/>
      <c r="GH139" s="90"/>
      <c r="GI139" s="91"/>
      <c r="GJ139" s="91"/>
      <c r="GK139" s="90"/>
    </row>
    <row r="140" spans="1:193" x14ac:dyDescent="0.3">
      <c r="N140" s="152" t="s">
        <v>255</v>
      </c>
      <c r="O140" s="153">
        <f>SUM(Q142:Q146)</f>
        <v>124929.60000000001</v>
      </c>
      <c r="GF140" s="89"/>
      <c r="GG140" s="90"/>
      <c r="GH140" s="90"/>
      <c r="GI140" s="91"/>
      <c r="GJ140" s="91"/>
      <c r="GK140" s="90"/>
    </row>
    <row r="141" spans="1:193" x14ac:dyDescent="0.3">
      <c r="N141" s="152" t="s">
        <v>242</v>
      </c>
      <c r="O141" s="131" t="s">
        <v>243</v>
      </c>
      <c r="P141" s="131" t="s">
        <v>244</v>
      </c>
      <c r="GF141" s="89"/>
      <c r="GG141" s="90"/>
      <c r="GH141" s="90"/>
      <c r="GI141" s="91"/>
      <c r="GJ141" s="91"/>
      <c r="GK141" s="90"/>
    </row>
    <row r="142" spans="1:193" x14ac:dyDescent="0.3">
      <c r="N142" s="131" t="s">
        <v>245</v>
      </c>
      <c r="O142" s="143">
        <v>1256</v>
      </c>
      <c r="P142" s="131">
        <v>15.5</v>
      </c>
      <c r="Q142" s="143">
        <f>O142*P142</f>
        <v>19468</v>
      </c>
      <c r="GF142" s="89"/>
      <c r="GG142" s="90"/>
      <c r="GH142" s="90"/>
      <c r="GI142" s="91"/>
      <c r="GJ142" s="91"/>
      <c r="GK142" s="90"/>
    </row>
    <row r="143" spans="1:193" x14ac:dyDescent="0.3">
      <c r="M143" s="143"/>
      <c r="N143" s="131" t="s">
        <v>246</v>
      </c>
      <c r="O143" s="143">
        <f>1572-25-159-950</f>
        <v>438</v>
      </c>
      <c r="P143" s="131">
        <v>16</v>
      </c>
      <c r="Q143" s="143">
        <f t="shared" ref="Q143:Q146" si="2">O143*P143</f>
        <v>7008</v>
      </c>
      <c r="GF143" s="89"/>
      <c r="GG143" s="90"/>
      <c r="GH143" s="90"/>
      <c r="GI143" s="91"/>
      <c r="GJ143" s="91"/>
      <c r="GK143" s="90"/>
    </row>
    <row r="144" spans="1:193" x14ac:dyDescent="0.3">
      <c r="N144" s="131" t="s">
        <v>247</v>
      </c>
      <c r="O144" s="143">
        <f>1718+184+950</f>
        <v>2852</v>
      </c>
      <c r="P144" s="131">
        <v>19</v>
      </c>
      <c r="Q144" s="143">
        <f t="shared" si="2"/>
        <v>54188</v>
      </c>
      <c r="GF144" s="89"/>
      <c r="GG144" s="90"/>
      <c r="GH144" s="90"/>
      <c r="GI144" s="91"/>
      <c r="GJ144" s="91"/>
      <c r="GK144" s="90"/>
    </row>
    <row r="145" spans="13:193" x14ac:dyDescent="0.3">
      <c r="N145" s="131" t="s">
        <v>249</v>
      </c>
      <c r="O145" s="143">
        <f>O144*0.9</f>
        <v>2566.8000000000002</v>
      </c>
      <c r="P145" s="131">
        <v>17</v>
      </c>
      <c r="Q145" s="143">
        <f t="shared" si="2"/>
        <v>43635.600000000006</v>
      </c>
      <c r="GF145" s="89"/>
      <c r="GG145" s="90"/>
      <c r="GH145" s="90"/>
      <c r="GI145" s="91"/>
      <c r="GJ145" s="91"/>
      <c r="GK145" s="90"/>
    </row>
    <row r="146" spans="13:193" x14ac:dyDescent="0.3">
      <c r="N146" s="131" t="s">
        <v>251</v>
      </c>
      <c r="O146" s="143">
        <v>30</v>
      </c>
      <c r="P146" s="131">
        <v>21</v>
      </c>
      <c r="Q146" s="143">
        <f t="shared" si="2"/>
        <v>630</v>
      </c>
      <c r="GF146" s="89"/>
      <c r="GG146" s="90"/>
      <c r="GH146" s="90"/>
      <c r="GI146" s="91"/>
      <c r="GJ146" s="91"/>
      <c r="GK146" s="90"/>
    </row>
    <row r="147" spans="13:193" x14ac:dyDescent="0.3">
      <c r="GF147" s="89"/>
      <c r="GG147" s="90"/>
      <c r="GH147" s="90"/>
      <c r="GI147" s="91"/>
      <c r="GJ147" s="91"/>
      <c r="GK147" s="90"/>
    </row>
    <row r="148" spans="13:193" x14ac:dyDescent="0.3">
      <c r="N148" s="152" t="s">
        <v>256</v>
      </c>
      <c r="O148" s="153">
        <f>O140+O132+O124</f>
        <v>212583.61600000001</v>
      </c>
      <c r="GF148" s="89"/>
      <c r="GG148" s="90"/>
      <c r="GH148" s="90"/>
      <c r="GI148" s="91"/>
      <c r="GJ148" s="91"/>
      <c r="GK148" s="90"/>
    </row>
    <row r="149" spans="13:193" x14ac:dyDescent="0.3">
      <c r="N149" s="152" t="s">
        <v>117</v>
      </c>
      <c r="O149" s="154">
        <f>O148/330</f>
        <v>644.19277575757576</v>
      </c>
      <c r="GF149" s="89"/>
      <c r="GG149" s="90"/>
      <c r="GH149" s="90"/>
      <c r="GI149" s="91"/>
      <c r="GJ149" s="91"/>
      <c r="GK149" s="90"/>
    </row>
    <row r="150" spans="13:193" x14ac:dyDescent="0.3">
      <c r="N150" s="152" t="s">
        <v>257</v>
      </c>
      <c r="O150" s="152">
        <v>342</v>
      </c>
      <c r="GF150" s="89"/>
      <c r="GG150" s="90"/>
      <c r="GH150" s="90"/>
      <c r="GI150" s="91"/>
      <c r="GJ150" s="91"/>
      <c r="GK150" s="90"/>
    </row>
    <row r="151" spans="13:193" x14ac:dyDescent="0.3">
      <c r="N151" s="152" t="s">
        <v>258</v>
      </c>
      <c r="O151" s="153">
        <f>O148*O150</f>
        <v>72703596.672000006</v>
      </c>
      <c r="GF151" s="89"/>
      <c r="GG151" s="90"/>
      <c r="GH151" s="90"/>
      <c r="GI151" s="91"/>
      <c r="GJ151" s="91"/>
      <c r="GK151" s="90"/>
    </row>
    <row r="152" spans="13:193" x14ac:dyDescent="0.3">
      <c r="GF152" s="89"/>
      <c r="GG152" s="90"/>
      <c r="GH152" s="90"/>
      <c r="GI152" s="91"/>
      <c r="GJ152" s="91"/>
      <c r="GK152" s="90"/>
    </row>
    <row r="153" spans="13:193" x14ac:dyDescent="0.3">
      <c r="GF153" s="89"/>
      <c r="GG153" s="90"/>
      <c r="GH153" s="90"/>
      <c r="GI153" s="91"/>
      <c r="GJ153" s="91"/>
      <c r="GK153" s="90"/>
    </row>
    <row r="154" spans="13:193" x14ac:dyDescent="0.3">
      <c r="GF154" s="89"/>
      <c r="GG154" s="90"/>
      <c r="GH154" s="90"/>
      <c r="GI154" s="91"/>
      <c r="GJ154" s="91"/>
      <c r="GK154" s="90"/>
    </row>
    <row r="155" spans="13:193" x14ac:dyDescent="0.3">
      <c r="GF155" s="89"/>
      <c r="GG155" s="90"/>
      <c r="GH155" s="90"/>
      <c r="GI155" s="91"/>
      <c r="GJ155" s="91"/>
      <c r="GK155" s="90"/>
    </row>
    <row r="156" spans="13:193" x14ac:dyDescent="0.3">
      <c r="GF156" s="89"/>
      <c r="GG156" s="90"/>
      <c r="GH156" s="90"/>
      <c r="GI156" s="91"/>
      <c r="GJ156" s="91"/>
      <c r="GK156" s="90"/>
    </row>
    <row r="157" spans="13:193" x14ac:dyDescent="0.3">
      <c r="M157" s="131">
        <v>10</v>
      </c>
      <c r="N157" s="131">
        <v>316.60000000000002</v>
      </c>
      <c r="GF157" s="89"/>
      <c r="GG157" s="90"/>
      <c r="GH157" s="90"/>
      <c r="GI157" s="91"/>
      <c r="GJ157" s="91"/>
      <c r="GK157" s="90"/>
    </row>
    <row r="158" spans="13:193" x14ac:dyDescent="0.3">
      <c r="M158" s="131">
        <v>10</v>
      </c>
      <c r="N158" s="131">
        <v>315.2</v>
      </c>
      <c r="GF158" s="89"/>
      <c r="GG158" s="90"/>
      <c r="GH158" s="90"/>
      <c r="GI158" s="91"/>
      <c r="GJ158" s="91"/>
      <c r="GK158" s="90"/>
    </row>
    <row r="159" spans="13:193" x14ac:dyDescent="0.3">
      <c r="M159" s="131">
        <v>-10</v>
      </c>
      <c r="N159" s="131">
        <v>317</v>
      </c>
      <c r="GF159" s="89"/>
      <c r="GG159" s="90"/>
      <c r="GH159" s="90"/>
      <c r="GI159" s="91"/>
      <c r="GJ159" s="91"/>
      <c r="GK159" s="90"/>
    </row>
    <row r="160" spans="13:193" x14ac:dyDescent="0.3">
      <c r="GF160" s="89"/>
      <c r="GG160" s="90"/>
      <c r="GH160" s="90"/>
      <c r="GI160" s="91"/>
      <c r="GJ160" s="91"/>
      <c r="GK160" s="90"/>
    </row>
    <row r="161" spans="12:193" x14ac:dyDescent="0.3">
      <c r="M161" s="131">
        <f>SUM(M157:M160)</f>
        <v>10</v>
      </c>
      <c r="N161" s="131">
        <f>SUMPRODUCT(M157:M160,N157:N160)/M161</f>
        <v>314.8</v>
      </c>
      <c r="GF161" s="89"/>
      <c r="GG161" s="90"/>
      <c r="GH161" s="90"/>
      <c r="GI161" s="91"/>
      <c r="GJ161" s="91"/>
      <c r="GK161" s="90"/>
    </row>
    <row r="162" spans="12:193" x14ac:dyDescent="0.3">
      <c r="GF162" s="89"/>
      <c r="GG162" s="90"/>
      <c r="GH162" s="90"/>
      <c r="GI162" s="91"/>
      <c r="GJ162" s="91"/>
      <c r="GK162" s="90"/>
    </row>
    <row r="163" spans="12:193" x14ac:dyDescent="0.3">
      <c r="L163" s="131" t="s">
        <v>164</v>
      </c>
      <c r="M163" s="131">
        <v>318</v>
      </c>
      <c r="GF163" s="89"/>
      <c r="GG163" s="90"/>
      <c r="GH163" s="90"/>
      <c r="GI163" s="91"/>
      <c r="GJ163" s="91"/>
      <c r="GK163" s="90"/>
    </row>
    <row r="164" spans="12:193" x14ac:dyDescent="0.3">
      <c r="L164" s="131" t="s">
        <v>133</v>
      </c>
      <c r="M164" s="143">
        <f>(M163-N161)*330*M161</f>
        <v>10559.999999999964</v>
      </c>
      <c r="GF164" s="89"/>
      <c r="GG164" s="90"/>
      <c r="GH164" s="90"/>
      <c r="GI164" s="91"/>
      <c r="GJ164" s="91"/>
      <c r="GK164" s="90"/>
    </row>
    <row r="165" spans="12:193" x14ac:dyDescent="0.3">
      <c r="GF165" s="89"/>
      <c r="GG165" s="90"/>
      <c r="GH165" s="90"/>
      <c r="GI165" s="91"/>
      <c r="GJ165" s="91"/>
      <c r="GK165" s="90"/>
    </row>
    <row r="166" spans="12:193" x14ac:dyDescent="0.3">
      <c r="GF166" s="89"/>
      <c r="GG166" s="90"/>
      <c r="GH166" s="90"/>
      <c r="GI166" s="91"/>
      <c r="GJ166" s="91"/>
      <c r="GK166" s="90"/>
    </row>
    <row r="167" spans="12:193" x14ac:dyDescent="0.3">
      <c r="GF167" s="89"/>
      <c r="GG167" s="90"/>
      <c r="GH167" s="90"/>
      <c r="GI167" s="91"/>
      <c r="GJ167" s="91"/>
      <c r="GK167" s="90"/>
    </row>
    <row r="168" spans="12:193" x14ac:dyDescent="0.3">
      <c r="GF168" s="89"/>
      <c r="GG168" s="90"/>
      <c r="GH168" s="90"/>
      <c r="GI168" s="91"/>
      <c r="GJ168" s="91"/>
      <c r="GK168" s="90"/>
    </row>
    <row r="169" spans="12:193" x14ac:dyDescent="0.3">
      <c r="GF169" s="89"/>
      <c r="GG169" s="90"/>
      <c r="GH169" s="90"/>
      <c r="GI169" s="91"/>
      <c r="GJ169" s="91"/>
      <c r="GK169" s="90"/>
    </row>
    <row r="170" spans="12:193" x14ac:dyDescent="0.3">
      <c r="GF170" s="89"/>
      <c r="GG170" s="90"/>
      <c r="GH170" s="90"/>
      <c r="GI170" s="91"/>
      <c r="GJ170" s="91"/>
      <c r="GK170" s="90"/>
    </row>
    <row r="171" spans="12:193" x14ac:dyDescent="0.3">
      <c r="GF171" s="89"/>
      <c r="GG171" s="90"/>
      <c r="GH171" s="90"/>
      <c r="GI171" s="91"/>
      <c r="GJ171" s="91"/>
      <c r="GK171" s="90"/>
    </row>
    <row r="172" spans="12:193" x14ac:dyDescent="0.3">
      <c r="GF172" s="89"/>
      <c r="GG172" s="90"/>
      <c r="GH172" s="90"/>
      <c r="GI172" s="91"/>
      <c r="GJ172" s="91"/>
      <c r="GK172" s="90"/>
    </row>
    <row r="173" spans="12:193" x14ac:dyDescent="0.3">
      <c r="GF173" s="89"/>
      <c r="GG173" s="90"/>
      <c r="GH173" s="90"/>
      <c r="GI173" s="91"/>
      <c r="GJ173" s="91"/>
      <c r="GK173" s="90"/>
    </row>
    <row r="174" spans="12:193" x14ac:dyDescent="0.3">
      <c r="GF174" s="89"/>
      <c r="GG174" s="90"/>
      <c r="GH174" s="90"/>
      <c r="GI174" s="91"/>
      <c r="GJ174" s="91"/>
      <c r="GK174" s="90"/>
    </row>
    <row r="175" spans="12:193" x14ac:dyDescent="0.3">
      <c r="GF175" s="89"/>
      <c r="GG175" s="90"/>
      <c r="GH175" s="90"/>
      <c r="GI175" s="91"/>
      <c r="GJ175" s="91"/>
      <c r="GK175" s="90"/>
    </row>
    <row r="176" spans="12:193" x14ac:dyDescent="0.3">
      <c r="GF176" s="89"/>
      <c r="GG176" s="90"/>
      <c r="GH176" s="90"/>
      <c r="GI176" s="91"/>
      <c r="GJ176" s="91"/>
      <c r="GK176" s="90"/>
    </row>
    <row r="177" spans="188:193" x14ac:dyDescent="0.3">
      <c r="GF177" s="89"/>
      <c r="GG177" s="90"/>
      <c r="GH177" s="90"/>
      <c r="GI177" s="91"/>
      <c r="GJ177" s="91"/>
      <c r="GK177" s="90"/>
    </row>
    <row r="178" spans="188:193" x14ac:dyDescent="0.3">
      <c r="GF178" s="89"/>
      <c r="GG178" s="90"/>
      <c r="GH178" s="90"/>
      <c r="GI178" s="91"/>
      <c r="GJ178" s="91"/>
      <c r="GK178" s="90"/>
    </row>
    <row r="179" spans="188:193" x14ac:dyDescent="0.3">
      <c r="GF179" s="89"/>
      <c r="GG179" s="90"/>
      <c r="GH179" s="90"/>
      <c r="GI179" s="91"/>
      <c r="GJ179" s="91"/>
      <c r="GK179" s="90"/>
    </row>
    <row r="180" spans="188:193" x14ac:dyDescent="0.3">
      <c r="GF180" s="89"/>
      <c r="GG180" s="90"/>
      <c r="GH180" s="90"/>
      <c r="GI180" s="91"/>
      <c r="GJ180" s="91"/>
      <c r="GK180" s="90"/>
    </row>
    <row r="181" spans="188:193" x14ac:dyDescent="0.3">
      <c r="GF181" s="89"/>
      <c r="GG181" s="90"/>
      <c r="GH181" s="90"/>
      <c r="GI181" s="91"/>
      <c r="GJ181" s="91"/>
      <c r="GK181" s="90"/>
    </row>
    <row r="182" spans="188:193" x14ac:dyDescent="0.3">
      <c r="GF182" s="89"/>
      <c r="GG182" s="90"/>
      <c r="GH182" s="90"/>
      <c r="GI182" s="91"/>
      <c r="GJ182" s="91"/>
      <c r="GK182" s="90"/>
    </row>
    <row r="183" spans="188:193" x14ac:dyDescent="0.3">
      <c r="GF183" s="89"/>
      <c r="GG183" s="90"/>
      <c r="GH183" s="90"/>
      <c r="GI183" s="91"/>
      <c r="GJ183" s="91"/>
      <c r="GK183" s="90"/>
    </row>
    <row r="184" spans="188:193" x14ac:dyDescent="0.3">
      <c r="GF184" s="89"/>
      <c r="GG184" s="90"/>
      <c r="GH184" s="90"/>
      <c r="GI184" s="91"/>
      <c r="GJ184" s="91"/>
      <c r="GK184" s="90"/>
    </row>
    <row r="185" spans="188:193" x14ac:dyDescent="0.3">
      <c r="GF185" s="89"/>
      <c r="GG185" s="90"/>
      <c r="GH185" s="90"/>
      <c r="GI185" s="91"/>
      <c r="GJ185" s="91"/>
      <c r="GK185" s="90"/>
    </row>
    <row r="186" spans="188:193" x14ac:dyDescent="0.3">
      <c r="GF186" s="89"/>
      <c r="GG186" s="90"/>
      <c r="GH186" s="90"/>
      <c r="GI186" s="91"/>
      <c r="GJ186" s="91"/>
      <c r="GK186" s="90"/>
    </row>
    <row r="187" spans="188:193" x14ac:dyDescent="0.3">
      <c r="GF187" s="89"/>
      <c r="GG187" s="90"/>
      <c r="GH187" s="90"/>
      <c r="GI187" s="91"/>
      <c r="GJ187" s="91"/>
      <c r="GK187" s="90"/>
    </row>
    <row r="188" spans="188:193" x14ac:dyDescent="0.3">
      <c r="GF188" s="89"/>
      <c r="GG188" s="90"/>
      <c r="GH188" s="90"/>
      <c r="GI188" s="91"/>
      <c r="GJ188" s="91"/>
      <c r="GK188" s="90"/>
    </row>
    <row r="189" spans="188:193" x14ac:dyDescent="0.3">
      <c r="GF189" s="89"/>
      <c r="GG189" s="90"/>
      <c r="GH189" s="90"/>
      <c r="GI189" s="91"/>
      <c r="GJ189" s="91"/>
      <c r="GK189" s="90"/>
    </row>
    <row r="190" spans="188:193" x14ac:dyDescent="0.3">
      <c r="GF190" s="89"/>
      <c r="GG190" s="90"/>
      <c r="GH190" s="90"/>
      <c r="GI190" s="91"/>
      <c r="GJ190" s="91"/>
      <c r="GK190" s="90"/>
    </row>
    <row r="191" spans="188:193" x14ac:dyDescent="0.3">
      <c r="GF191" s="89"/>
      <c r="GG191" s="90"/>
      <c r="GH191" s="90"/>
      <c r="GI191" s="91"/>
      <c r="GJ191" s="91"/>
      <c r="GK191" s="90"/>
    </row>
    <row r="192" spans="188:193" x14ac:dyDescent="0.3">
      <c r="GF192" s="89"/>
      <c r="GG192" s="90"/>
      <c r="GH192" s="90"/>
      <c r="GI192" s="91"/>
      <c r="GJ192" s="91"/>
      <c r="GK192" s="90"/>
    </row>
    <row r="193" spans="188:193" x14ac:dyDescent="0.3">
      <c r="GF193" s="89"/>
      <c r="GG193" s="90"/>
      <c r="GH193" s="90"/>
      <c r="GI193" s="91"/>
      <c r="GJ193" s="91"/>
      <c r="GK193" s="90"/>
    </row>
    <row r="194" spans="188:193" x14ac:dyDescent="0.3">
      <c r="GF194" s="89"/>
      <c r="GG194" s="90"/>
      <c r="GH194" s="90"/>
      <c r="GI194" s="91"/>
      <c r="GJ194" s="91"/>
      <c r="GK194" s="90"/>
    </row>
    <row r="195" spans="188:193" x14ac:dyDescent="0.3">
      <c r="GF195" s="89"/>
      <c r="GG195" s="90"/>
      <c r="GH195" s="90"/>
      <c r="GI195" s="91"/>
      <c r="GJ195" s="91"/>
      <c r="GK195" s="90"/>
    </row>
    <row r="196" spans="188:193" x14ac:dyDescent="0.3">
      <c r="GF196" s="89"/>
      <c r="GG196" s="90"/>
      <c r="GH196" s="90"/>
      <c r="GI196" s="91"/>
      <c r="GJ196" s="91"/>
      <c r="GK196" s="90"/>
    </row>
    <row r="197" spans="188:193" x14ac:dyDescent="0.3">
      <c r="GF197" s="89"/>
      <c r="GG197" s="90"/>
      <c r="GH197" s="90"/>
      <c r="GI197" s="91"/>
      <c r="GJ197" s="91"/>
      <c r="GK197" s="90"/>
    </row>
    <row r="198" spans="188:193" x14ac:dyDescent="0.3">
      <c r="GF198" s="89"/>
      <c r="GG198" s="90"/>
      <c r="GH198" s="90"/>
      <c r="GI198" s="91"/>
      <c r="GJ198" s="91"/>
      <c r="GK198" s="90"/>
    </row>
    <row r="199" spans="188:193" x14ac:dyDescent="0.3">
      <c r="GF199" s="89"/>
      <c r="GG199" s="90"/>
      <c r="GH199" s="90"/>
      <c r="GI199" s="91"/>
      <c r="GJ199" s="91"/>
      <c r="GK199" s="90"/>
    </row>
    <row r="200" spans="188:193" x14ac:dyDescent="0.3">
      <c r="GF200" s="89"/>
      <c r="GG200" s="90"/>
      <c r="GH200" s="90"/>
      <c r="GI200" s="91"/>
      <c r="GJ200" s="91"/>
      <c r="GK200" s="90"/>
    </row>
    <row r="201" spans="188:193" x14ac:dyDescent="0.3">
      <c r="GF201" s="89"/>
      <c r="GG201" s="90"/>
      <c r="GH201" s="90"/>
      <c r="GI201" s="91"/>
      <c r="GJ201" s="91"/>
      <c r="GK201" s="90"/>
    </row>
    <row r="202" spans="188:193" x14ac:dyDescent="0.3">
      <c r="GF202" s="89"/>
      <c r="GG202" s="90"/>
      <c r="GH202" s="90"/>
      <c r="GI202" s="91"/>
      <c r="GJ202" s="91"/>
      <c r="GK202" s="90"/>
    </row>
    <row r="203" spans="188:193" x14ac:dyDescent="0.3">
      <c r="GF203" s="89"/>
      <c r="GG203" s="90"/>
      <c r="GH203" s="90"/>
      <c r="GI203" s="91"/>
      <c r="GJ203" s="91"/>
      <c r="GK203" s="90"/>
    </row>
    <row r="204" spans="188:193" x14ac:dyDescent="0.3">
      <c r="GF204" s="89"/>
      <c r="GG204" s="90"/>
      <c r="GH204" s="90"/>
      <c r="GI204" s="91"/>
      <c r="GJ204" s="91"/>
      <c r="GK204" s="90"/>
    </row>
    <row r="205" spans="188:193" x14ac:dyDescent="0.3">
      <c r="GF205" s="89"/>
      <c r="GG205" s="90"/>
      <c r="GH205" s="90"/>
      <c r="GI205" s="91"/>
      <c r="GJ205" s="91"/>
      <c r="GK205" s="90"/>
    </row>
    <row r="206" spans="188:193" x14ac:dyDescent="0.3">
      <c r="GF206" s="89"/>
      <c r="GG206" s="90"/>
      <c r="GH206" s="90"/>
      <c r="GI206" s="91"/>
      <c r="GJ206" s="91"/>
      <c r="GK206" s="90"/>
    </row>
    <row r="207" spans="188:193" x14ac:dyDescent="0.3">
      <c r="GF207" s="89"/>
      <c r="GG207" s="90"/>
      <c r="GH207" s="90"/>
      <c r="GI207" s="91"/>
      <c r="GJ207" s="91"/>
      <c r="GK207" s="90"/>
    </row>
    <row r="208" spans="188:193" x14ac:dyDescent="0.3">
      <c r="GF208" s="89"/>
      <c r="GG208" s="90"/>
      <c r="GH208" s="90"/>
      <c r="GI208" s="91"/>
      <c r="GJ208" s="91"/>
      <c r="GK208" s="90"/>
    </row>
    <row r="209" spans="188:193" x14ac:dyDescent="0.3">
      <c r="GF209" s="89"/>
      <c r="GG209" s="90"/>
      <c r="GH209" s="90"/>
      <c r="GI209" s="91"/>
      <c r="GJ209" s="91"/>
      <c r="GK209" s="90"/>
    </row>
    <row r="210" spans="188:193" x14ac:dyDescent="0.3">
      <c r="GF210" s="89"/>
      <c r="GG210" s="90"/>
      <c r="GH210" s="90"/>
      <c r="GI210" s="91"/>
      <c r="GJ210" s="91"/>
      <c r="GK210" s="90"/>
    </row>
    <row r="211" spans="188:193" x14ac:dyDescent="0.3">
      <c r="GF211" s="89"/>
      <c r="GG211" s="90"/>
      <c r="GH211" s="90"/>
      <c r="GI211" s="91"/>
      <c r="GJ211" s="91"/>
      <c r="GK211" s="90"/>
    </row>
    <row r="212" spans="188:193" x14ac:dyDescent="0.3">
      <c r="GF212" s="89"/>
      <c r="GG212" s="90"/>
      <c r="GH212" s="90"/>
      <c r="GI212" s="91"/>
      <c r="GJ212" s="91"/>
      <c r="GK212" s="90"/>
    </row>
    <row r="213" spans="188:193" x14ac:dyDescent="0.3">
      <c r="GF213" s="89"/>
      <c r="GG213" s="90"/>
      <c r="GH213" s="90"/>
      <c r="GI213" s="91"/>
      <c r="GJ213" s="91"/>
      <c r="GK213" s="90"/>
    </row>
    <row r="214" spans="188:193" x14ac:dyDescent="0.3">
      <c r="GF214" s="89"/>
      <c r="GG214" s="90"/>
      <c r="GH214" s="90"/>
      <c r="GI214" s="91"/>
      <c r="GJ214" s="91"/>
      <c r="GK214" s="90"/>
    </row>
    <row r="215" spans="188:193" x14ac:dyDescent="0.3">
      <c r="GF215" s="89"/>
      <c r="GG215" s="90"/>
      <c r="GH215" s="90"/>
      <c r="GI215" s="91"/>
      <c r="GJ215" s="91"/>
      <c r="GK215" s="90"/>
    </row>
    <row r="216" spans="188:193" x14ac:dyDescent="0.3">
      <c r="GF216" s="89"/>
      <c r="GG216" s="90"/>
      <c r="GH216" s="90"/>
      <c r="GI216" s="91"/>
      <c r="GJ216" s="91"/>
      <c r="GK216" s="90"/>
    </row>
    <row r="217" spans="188:193" x14ac:dyDescent="0.3">
      <c r="GF217" s="89"/>
      <c r="GG217" s="90"/>
      <c r="GH217" s="90"/>
      <c r="GI217" s="91"/>
      <c r="GJ217" s="91"/>
      <c r="GK217" s="90"/>
    </row>
    <row r="218" spans="188:193" x14ac:dyDescent="0.3">
      <c r="GF218" s="89"/>
      <c r="GG218" s="90"/>
      <c r="GH218" s="90"/>
      <c r="GI218" s="91"/>
      <c r="GJ218" s="91"/>
      <c r="GK218" s="90"/>
    </row>
    <row r="219" spans="188:193" x14ac:dyDescent="0.3">
      <c r="GF219" s="89"/>
      <c r="GG219" s="90"/>
      <c r="GH219" s="90"/>
      <c r="GI219" s="91"/>
      <c r="GJ219" s="91"/>
      <c r="GK219" s="90"/>
    </row>
    <row r="220" spans="188:193" x14ac:dyDescent="0.3">
      <c r="GF220" s="89"/>
      <c r="GG220" s="90"/>
      <c r="GH220" s="90"/>
      <c r="GI220" s="91"/>
      <c r="GJ220" s="91"/>
      <c r="GK220" s="90"/>
    </row>
    <row r="221" spans="188:193" x14ac:dyDescent="0.3">
      <c r="GF221" s="89"/>
      <c r="GG221" s="90"/>
      <c r="GH221" s="90"/>
      <c r="GI221" s="91"/>
      <c r="GJ221" s="91"/>
      <c r="GK221" s="90"/>
    </row>
    <row r="222" spans="188:193" x14ac:dyDescent="0.3">
      <c r="GF222" s="89"/>
      <c r="GG222" s="90"/>
      <c r="GH222" s="90"/>
      <c r="GI222" s="91"/>
      <c r="GJ222" s="91"/>
      <c r="GK222" s="90"/>
    </row>
    <row r="223" spans="188:193" x14ac:dyDescent="0.3">
      <c r="GF223" s="89"/>
      <c r="GG223" s="90"/>
      <c r="GH223" s="90"/>
      <c r="GI223" s="91"/>
      <c r="GJ223" s="91"/>
      <c r="GK223" s="90"/>
    </row>
    <row r="224" spans="188:193" x14ac:dyDescent="0.3">
      <c r="GF224" s="89"/>
      <c r="GG224" s="90"/>
      <c r="GH224" s="90"/>
      <c r="GI224" s="91"/>
      <c r="GJ224" s="91"/>
      <c r="GK224" s="90"/>
    </row>
    <row r="225" spans="188:193" x14ac:dyDescent="0.3">
      <c r="GF225" s="89"/>
      <c r="GG225" s="90"/>
      <c r="GH225" s="90"/>
      <c r="GI225" s="91"/>
      <c r="GJ225" s="91"/>
      <c r="GK225" s="90"/>
    </row>
    <row r="226" spans="188:193" x14ac:dyDescent="0.3">
      <c r="GF226" s="89"/>
      <c r="GG226" s="90"/>
      <c r="GH226" s="90"/>
      <c r="GI226" s="91"/>
      <c r="GJ226" s="91"/>
      <c r="GK226" s="90"/>
    </row>
    <row r="227" spans="188:193" x14ac:dyDescent="0.3">
      <c r="GF227" s="89"/>
      <c r="GG227" s="90"/>
      <c r="GH227" s="90"/>
      <c r="GI227" s="91"/>
      <c r="GJ227" s="91"/>
      <c r="GK227" s="90"/>
    </row>
    <row r="228" spans="188:193" x14ac:dyDescent="0.3">
      <c r="GF228" s="89"/>
      <c r="GG228" s="90"/>
      <c r="GH228" s="90"/>
      <c r="GI228" s="91"/>
      <c r="GJ228" s="91"/>
      <c r="GK228" s="90"/>
    </row>
    <row r="229" spans="188:193" x14ac:dyDescent="0.3">
      <c r="GF229" s="89"/>
      <c r="GG229" s="90"/>
      <c r="GH229" s="90"/>
      <c r="GI229" s="91"/>
      <c r="GJ229" s="91"/>
      <c r="GK229" s="90"/>
    </row>
    <row r="230" spans="188:193" x14ac:dyDescent="0.3">
      <c r="GF230" s="89"/>
      <c r="GG230" s="90"/>
      <c r="GH230" s="90"/>
      <c r="GI230" s="91"/>
      <c r="GJ230" s="91"/>
      <c r="GK230" s="90"/>
    </row>
    <row r="231" spans="188:193" x14ac:dyDescent="0.3">
      <c r="GF231" s="89"/>
      <c r="GG231" s="90"/>
      <c r="GH231" s="90"/>
      <c r="GI231" s="91"/>
      <c r="GJ231" s="91"/>
      <c r="GK231" s="90"/>
    </row>
    <row r="232" spans="188:193" x14ac:dyDescent="0.3">
      <c r="GF232" s="89"/>
      <c r="GG232" s="90"/>
      <c r="GH232" s="90"/>
      <c r="GI232" s="91"/>
      <c r="GJ232" s="91"/>
      <c r="GK232" s="90"/>
    </row>
    <row r="233" spans="188:193" x14ac:dyDescent="0.3">
      <c r="GF233" s="89"/>
      <c r="GG233" s="90"/>
      <c r="GH233" s="90"/>
      <c r="GI233" s="91"/>
      <c r="GJ233" s="91"/>
      <c r="GK233" s="90"/>
    </row>
    <row r="234" spans="188:193" x14ac:dyDescent="0.3">
      <c r="GF234" s="89"/>
      <c r="GG234" s="90"/>
      <c r="GH234" s="90"/>
      <c r="GI234" s="91"/>
      <c r="GJ234" s="91"/>
      <c r="GK234" s="90"/>
    </row>
    <row r="235" spans="188:193" x14ac:dyDescent="0.3">
      <c r="GF235" s="89"/>
      <c r="GG235" s="90"/>
      <c r="GH235" s="90"/>
      <c r="GI235" s="91"/>
      <c r="GJ235" s="91"/>
      <c r="GK235" s="90"/>
    </row>
    <row r="236" spans="188:193" x14ac:dyDescent="0.3">
      <c r="GF236" s="89"/>
      <c r="GG236" s="90"/>
      <c r="GH236" s="90"/>
      <c r="GI236" s="91"/>
      <c r="GJ236" s="91"/>
      <c r="GK236" s="90"/>
    </row>
    <row r="237" spans="188:193" x14ac:dyDescent="0.3">
      <c r="GF237" s="89"/>
      <c r="GG237" s="90"/>
      <c r="GH237" s="90"/>
      <c r="GI237" s="91"/>
      <c r="GJ237" s="91"/>
      <c r="GK237" s="90"/>
    </row>
    <row r="238" spans="188:193" x14ac:dyDescent="0.3">
      <c r="GF238" s="89"/>
      <c r="GG238" s="90"/>
      <c r="GH238" s="90"/>
      <c r="GI238" s="91"/>
      <c r="GJ238" s="91"/>
      <c r="GK238" s="90"/>
    </row>
    <row r="239" spans="188:193" x14ac:dyDescent="0.3">
      <c r="GF239" s="89"/>
      <c r="GG239" s="90"/>
      <c r="GH239" s="90"/>
      <c r="GI239" s="91"/>
      <c r="GJ239" s="91"/>
      <c r="GK239" s="90"/>
    </row>
    <row r="240" spans="188:193" x14ac:dyDescent="0.3">
      <c r="GF240" s="89"/>
      <c r="GG240" s="90"/>
      <c r="GH240" s="90"/>
      <c r="GI240" s="91"/>
      <c r="GJ240" s="91"/>
      <c r="GK240" s="90"/>
    </row>
    <row r="241" spans="188:193" x14ac:dyDescent="0.3">
      <c r="GF241" s="89"/>
      <c r="GG241" s="90"/>
      <c r="GH241" s="90"/>
      <c r="GI241" s="91"/>
      <c r="GJ241" s="91"/>
      <c r="GK241" s="90"/>
    </row>
    <row r="242" spans="188:193" x14ac:dyDescent="0.3">
      <c r="GF242" s="89"/>
      <c r="GG242" s="90"/>
      <c r="GH242" s="90"/>
      <c r="GI242" s="91"/>
      <c r="GJ242" s="91"/>
      <c r="GK242" s="90"/>
    </row>
    <row r="243" spans="188:193" x14ac:dyDescent="0.3">
      <c r="GF243" s="89"/>
      <c r="GG243" s="90"/>
      <c r="GH243" s="90"/>
      <c r="GI243" s="91"/>
      <c r="GJ243" s="91"/>
      <c r="GK243" s="90"/>
    </row>
    <row r="244" spans="188:193" x14ac:dyDescent="0.3">
      <c r="GF244" s="89"/>
      <c r="GG244" s="90"/>
      <c r="GH244" s="90"/>
      <c r="GI244" s="91"/>
      <c r="GJ244" s="91"/>
      <c r="GK244" s="90"/>
    </row>
    <row r="245" spans="188:193" x14ac:dyDescent="0.3">
      <c r="GF245" s="89"/>
      <c r="GG245" s="90"/>
      <c r="GH245" s="90"/>
      <c r="GI245" s="91"/>
      <c r="GJ245" s="91"/>
      <c r="GK245" s="90"/>
    </row>
    <row r="246" spans="188:193" x14ac:dyDescent="0.3">
      <c r="GF246" s="89"/>
      <c r="GG246" s="90"/>
      <c r="GH246" s="90"/>
      <c r="GI246" s="91"/>
      <c r="GJ246" s="91"/>
      <c r="GK246" s="90"/>
    </row>
    <row r="247" spans="188:193" x14ac:dyDescent="0.3">
      <c r="GF247" s="89"/>
      <c r="GG247" s="90"/>
      <c r="GH247" s="90"/>
      <c r="GI247" s="91"/>
      <c r="GJ247" s="91"/>
      <c r="GK247" s="90"/>
    </row>
    <row r="248" spans="188:193" x14ac:dyDescent="0.3">
      <c r="GF248" s="89"/>
      <c r="GG248" s="90"/>
      <c r="GH248" s="90"/>
      <c r="GI248" s="91"/>
      <c r="GJ248" s="91"/>
      <c r="GK248" s="90"/>
    </row>
    <row r="249" spans="188:193" x14ac:dyDescent="0.3">
      <c r="GF249" s="89"/>
      <c r="GG249" s="90"/>
      <c r="GH249" s="90"/>
      <c r="GI249" s="91"/>
      <c r="GJ249" s="91"/>
      <c r="GK249" s="90"/>
    </row>
    <row r="250" spans="188:193" x14ac:dyDescent="0.3">
      <c r="GF250" s="89"/>
      <c r="GG250" s="90"/>
      <c r="GH250" s="90"/>
      <c r="GI250" s="91"/>
      <c r="GJ250" s="91"/>
      <c r="GK250" s="90"/>
    </row>
    <row r="251" spans="188:193" x14ac:dyDescent="0.3">
      <c r="GF251" s="89"/>
      <c r="GG251" s="90"/>
      <c r="GH251" s="90"/>
      <c r="GI251" s="91"/>
      <c r="GJ251" s="91"/>
      <c r="GK251" s="90"/>
    </row>
    <row r="252" spans="188:193" x14ac:dyDescent="0.3">
      <c r="GF252" s="89"/>
      <c r="GG252" s="90"/>
      <c r="GH252" s="90"/>
      <c r="GI252" s="91"/>
      <c r="GJ252" s="91"/>
      <c r="GK252" s="90"/>
    </row>
    <row r="253" spans="188:193" x14ac:dyDescent="0.3">
      <c r="GF253" s="89"/>
      <c r="GG253" s="90"/>
      <c r="GH253" s="90"/>
      <c r="GI253" s="91"/>
      <c r="GJ253" s="91"/>
      <c r="GK253" s="90"/>
    </row>
    <row r="254" spans="188:193" x14ac:dyDescent="0.3">
      <c r="GF254" s="89"/>
      <c r="GG254" s="90"/>
      <c r="GH254" s="90"/>
      <c r="GI254" s="91"/>
      <c r="GJ254" s="91"/>
      <c r="GK254" s="90"/>
    </row>
    <row r="255" spans="188:193" x14ac:dyDescent="0.3">
      <c r="GF255" s="89"/>
      <c r="GG255" s="90"/>
      <c r="GH255" s="90"/>
      <c r="GI255" s="91"/>
      <c r="GJ255" s="91"/>
      <c r="GK255" s="90"/>
    </row>
    <row r="256" spans="188:193" x14ac:dyDescent="0.3">
      <c r="GF256" s="89"/>
      <c r="GG256" s="90"/>
      <c r="GH256" s="90"/>
      <c r="GI256" s="91"/>
      <c r="GJ256" s="91"/>
      <c r="GK256" s="90"/>
    </row>
    <row r="257" spans="188:193" x14ac:dyDescent="0.3">
      <c r="GF257" s="89"/>
      <c r="GG257" s="90"/>
      <c r="GH257" s="90"/>
      <c r="GI257" s="91"/>
      <c r="GJ257" s="91"/>
      <c r="GK257" s="90"/>
    </row>
    <row r="258" spans="188:193" x14ac:dyDescent="0.3">
      <c r="GF258" s="89"/>
      <c r="GG258" s="90"/>
      <c r="GH258" s="90"/>
      <c r="GI258" s="91"/>
      <c r="GJ258" s="91"/>
      <c r="GK258" s="90"/>
    </row>
    <row r="259" spans="188:193" x14ac:dyDescent="0.3">
      <c r="GF259" s="89"/>
      <c r="GG259" s="90"/>
      <c r="GH259" s="90"/>
      <c r="GI259" s="91"/>
      <c r="GJ259" s="91"/>
      <c r="GK259" s="90"/>
    </row>
    <row r="260" spans="188:193" x14ac:dyDescent="0.3">
      <c r="GF260" s="89"/>
      <c r="GG260" s="90"/>
      <c r="GH260" s="90"/>
      <c r="GI260" s="91"/>
      <c r="GJ260" s="91"/>
      <c r="GK260" s="90"/>
    </row>
    <row r="261" spans="188:193" x14ac:dyDescent="0.3">
      <c r="GF261" s="89"/>
      <c r="GG261" s="90"/>
      <c r="GH261" s="90"/>
      <c r="GI261" s="91"/>
      <c r="GJ261" s="91"/>
      <c r="GK261" s="90"/>
    </row>
    <row r="262" spans="188:193" x14ac:dyDescent="0.3">
      <c r="GF262" s="89"/>
      <c r="GG262" s="90"/>
      <c r="GH262" s="90"/>
      <c r="GI262" s="91"/>
      <c r="GJ262" s="91"/>
      <c r="GK262" s="90"/>
    </row>
    <row r="263" spans="188:193" x14ac:dyDescent="0.3">
      <c r="GF263" s="89"/>
      <c r="GG263" s="90"/>
      <c r="GH263" s="90"/>
      <c r="GI263" s="91"/>
      <c r="GJ263" s="91"/>
      <c r="GK263" s="90"/>
    </row>
    <row r="264" spans="188:193" x14ac:dyDescent="0.3">
      <c r="GF264" s="89"/>
      <c r="GG264" s="90"/>
      <c r="GH264" s="90"/>
      <c r="GI264" s="91"/>
      <c r="GJ264" s="91"/>
      <c r="GK264" s="90"/>
    </row>
    <row r="265" spans="188:193" x14ac:dyDescent="0.3">
      <c r="GF265" s="89"/>
      <c r="GG265" s="90"/>
      <c r="GH265" s="90"/>
      <c r="GI265" s="91"/>
      <c r="GJ265" s="91"/>
      <c r="GK265" s="90"/>
    </row>
    <row r="266" spans="188:193" x14ac:dyDescent="0.3">
      <c r="GF266" s="89"/>
      <c r="GG266" s="90"/>
      <c r="GH266" s="90"/>
      <c r="GI266" s="91"/>
      <c r="GJ266" s="91"/>
      <c r="GK266" s="90"/>
    </row>
    <row r="267" spans="188:193" x14ac:dyDescent="0.3">
      <c r="GF267" s="89"/>
      <c r="GG267" s="90"/>
      <c r="GH267" s="90"/>
      <c r="GI267" s="91"/>
      <c r="GJ267" s="91"/>
      <c r="GK267" s="90"/>
    </row>
    <row r="268" spans="188:193" x14ac:dyDescent="0.3">
      <c r="GF268" s="89"/>
      <c r="GG268" s="90"/>
      <c r="GH268" s="90"/>
      <c r="GI268" s="91"/>
      <c r="GJ268" s="91"/>
      <c r="GK268" s="90"/>
    </row>
    <row r="269" spans="188:193" x14ac:dyDescent="0.3">
      <c r="GF269" s="89"/>
      <c r="GG269" s="90"/>
      <c r="GH269" s="90"/>
      <c r="GI269" s="91"/>
      <c r="GJ269" s="91"/>
      <c r="GK269" s="90"/>
    </row>
    <row r="270" spans="188:193" x14ac:dyDescent="0.3">
      <c r="GF270" s="89"/>
      <c r="GG270" s="90"/>
      <c r="GH270" s="90"/>
      <c r="GI270" s="91"/>
      <c r="GJ270" s="91"/>
      <c r="GK270" s="90"/>
    </row>
    <row r="271" spans="188:193" x14ac:dyDescent="0.3">
      <c r="GF271" s="89"/>
      <c r="GG271" s="90"/>
      <c r="GH271" s="90"/>
      <c r="GI271" s="91"/>
      <c r="GJ271" s="91"/>
      <c r="GK271" s="90"/>
    </row>
    <row r="272" spans="188:193" x14ac:dyDescent="0.3">
      <c r="GF272" s="89"/>
      <c r="GG272" s="90"/>
      <c r="GH272" s="90"/>
      <c r="GI272" s="91"/>
      <c r="GJ272" s="91"/>
      <c r="GK272" s="90"/>
    </row>
    <row r="273" spans="188:193" x14ac:dyDescent="0.3">
      <c r="GF273" s="89"/>
      <c r="GG273" s="90"/>
      <c r="GH273" s="90"/>
      <c r="GI273" s="91"/>
      <c r="GJ273" s="91"/>
      <c r="GK273" s="90"/>
    </row>
    <row r="274" spans="188:193" x14ac:dyDescent="0.3">
      <c r="GF274" s="89"/>
      <c r="GG274" s="90"/>
      <c r="GH274" s="90"/>
      <c r="GI274" s="91"/>
      <c r="GJ274" s="91"/>
      <c r="GK274" s="90"/>
    </row>
    <row r="275" spans="188:193" x14ac:dyDescent="0.3">
      <c r="GF275" s="89"/>
      <c r="GG275" s="90"/>
      <c r="GH275" s="90"/>
      <c r="GI275" s="91"/>
      <c r="GJ275" s="91"/>
      <c r="GK275" s="90"/>
    </row>
    <row r="276" spans="188:193" x14ac:dyDescent="0.3">
      <c r="GF276" s="89"/>
      <c r="GG276" s="90"/>
      <c r="GH276" s="90"/>
      <c r="GI276" s="91"/>
      <c r="GJ276" s="91"/>
      <c r="GK276" s="90"/>
    </row>
    <row r="277" spans="188:193" x14ac:dyDescent="0.3">
      <c r="GF277" s="89"/>
      <c r="GG277" s="90"/>
      <c r="GH277" s="90"/>
      <c r="GI277" s="91"/>
      <c r="GJ277" s="91"/>
      <c r="GK277" s="90"/>
    </row>
    <row r="278" spans="188:193" x14ac:dyDescent="0.3">
      <c r="GF278" s="89"/>
      <c r="GG278" s="90"/>
      <c r="GH278" s="90"/>
      <c r="GI278" s="91"/>
      <c r="GJ278" s="91"/>
      <c r="GK278" s="90"/>
    </row>
    <row r="279" spans="188:193" x14ac:dyDescent="0.3">
      <c r="GF279" s="89"/>
      <c r="GG279" s="90"/>
      <c r="GH279" s="90"/>
      <c r="GI279" s="91"/>
      <c r="GJ279" s="91"/>
      <c r="GK279" s="90"/>
    </row>
    <row r="280" spans="188:193" x14ac:dyDescent="0.3">
      <c r="GF280" s="89"/>
      <c r="GG280" s="90"/>
      <c r="GH280" s="90"/>
      <c r="GI280" s="91"/>
      <c r="GJ280" s="91"/>
      <c r="GK280" s="90"/>
    </row>
    <row r="281" spans="188:193" x14ac:dyDescent="0.3">
      <c r="GF281" s="89"/>
      <c r="GG281" s="90"/>
      <c r="GH281" s="90"/>
      <c r="GI281" s="91"/>
      <c r="GJ281" s="91"/>
      <c r="GK281" s="90"/>
    </row>
    <row r="282" spans="188:193" x14ac:dyDescent="0.3">
      <c r="GF282" s="89"/>
      <c r="GG282" s="90"/>
      <c r="GH282" s="90"/>
      <c r="GI282" s="91"/>
      <c r="GJ282" s="91"/>
      <c r="GK282" s="90"/>
    </row>
    <row r="283" spans="188:193" x14ac:dyDescent="0.3">
      <c r="GF283" s="89"/>
      <c r="GG283" s="90"/>
      <c r="GH283" s="90"/>
      <c r="GI283" s="91"/>
      <c r="GJ283" s="91"/>
      <c r="GK283" s="90"/>
    </row>
    <row r="284" spans="188:193" x14ac:dyDescent="0.3">
      <c r="GF284" s="89"/>
      <c r="GG284" s="90"/>
      <c r="GH284" s="90"/>
      <c r="GI284" s="91"/>
      <c r="GJ284" s="91"/>
      <c r="GK284" s="90"/>
    </row>
    <row r="285" spans="188:193" x14ac:dyDescent="0.3">
      <c r="GF285" s="89"/>
      <c r="GG285" s="90"/>
      <c r="GH285" s="90"/>
      <c r="GI285" s="91"/>
      <c r="GJ285" s="91"/>
      <c r="GK285" s="90"/>
    </row>
    <row r="286" spans="188:193" x14ac:dyDescent="0.3">
      <c r="GF286" s="89"/>
      <c r="GG286" s="90"/>
      <c r="GH286" s="90"/>
      <c r="GI286" s="91"/>
      <c r="GJ286" s="91"/>
      <c r="GK286" s="90"/>
    </row>
    <row r="287" spans="188:193" x14ac:dyDescent="0.3">
      <c r="GF287" s="89"/>
      <c r="GG287" s="90"/>
      <c r="GH287" s="90"/>
      <c r="GI287" s="91"/>
      <c r="GJ287" s="91"/>
      <c r="GK287" s="90"/>
    </row>
    <row r="288" spans="188:193" x14ac:dyDescent="0.3">
      <c r="GF288" s="89"/>
      <c r="GG288" s="90"/>
      <c r="GH288" s="90"/>
      <c r="GI288" s="91"/>
      <c r="GJ288" s="91"/>
      <c r="GK288" s="90"/>
    </row>
    <row r="289" spans="188:193" x14ac:dyDescent="0.3">
      <c r="GF289" s="89"/>
      <c r="GG289" s="90"/>
      <c r="GH289" s="90"/>
      <c r="GI289" s="91"/>
      <c r="GJ289" s="91"/>
      <c r="GK289" s="90"/>
    </row>
    <row r="290" spans="188:193" x14ac:dyDescent="0.3">
      <c r="GF290" s="89"/>
      <c r="GG290" s="90"/>
      <c r="GH290" s="90"/>
      <c r="GI290" s="91"/>
      <c r="GJ290" s="91"/>
      <c r="GK290" s="90"/>
    </row>
    <row r="291" spans="188:193" x14ac:dyDescent="0.3">
      <c r="GF291" s="89"/>
      <c r="GG291" s="90"/>
      <c r="GH291" s="90"/>
      <c r="GI291" s="91"/>
      <c r="GJ291" s="91"/>
      <c r="GK291" s="90"/>
    </row>
    <row r="292" spans="188:193" x14ac:dyDescent="0.3">
      <c r="GF292" s="89"/>
      <c r="GG292" s="90"/>
      <c r="GH292" s="90"/>
      <c r="GI292" s="91"/>
      <c r="GJ292" s="91"/>
      <c r="GK292" s="90"/>
    </row>
    <row r="293" spans="188:193" x14ac:dyDescent="0.3">
      <c r="GF293" s="89"/>
      <c r="GG293" s="90"/>
      <c r="GH293" s="90"/>
      <c r="GI293" s="91"/>
      <c r="GJ293" s="91"/>
      <c r="GK293" s="90"/>
    </row>
    <row r="294" spans="188:193" x14ac:dyDescent="0.3">
      <c r="GF294" s="89"/>
      <c r="GG294" s="90"/>
      <c r="GH294" s="90"/>
      <c r="GI294" s="91"/>
      <c r="GJ294" s="91"/>
      <c r="GK294" s="90"/>
    </row>
    <row r="295" spans="188:193" x14ac:dyDescent="0.3">
      <c r="GF295" s="89"/>
      <c r="GG295" s="90"/>
      <c r="GH295" s="90"/>
      <c r="GI295" s="91"/>
      <c r="GJ295" s="91"/>
      <c r="GK295" s="90"/>
    </row>
    <row r="296" spans="188:193" x14ac:dyDescent="0.3">
      <c r="GF296" s="89"/>
      <c r="GG296" s="90"/>
      <c r="GH296" s="90"/>
      <c r="GI296" s="91"/>
      <c r="GJ296" s="91"/>
      <c r="GK296" s="90"/>
    </row>
    <row r="297" spans="188:193" x14ac:dyDescent="0.3">
      <c r="GF297" s="89"/>
      <c r="GG297" s="90"/>
      <c r="GH297" s="90"/>
      <c r="GI297" s="91"/>
      <c r="GJ297" s="91"/>
      <c r="GK297" s="90"/>
    </row>
    <row r="298" spans="188:193" x14ac:dyDescent="0.3">
      <c r="GF298" s="89"/>
      <c r="GG298" s="90"/>
      <c r="GH298" s="90"/>
      <c r="GI298" s="91"/>
      <c r="GJ298" s="91"/>
      <c r="GK298" s="90"/>
    </row>
    <row r="299" spans="188:193" x14ac:dyDescent="0.3">
      <c r="GF299" s="89"/>
      <c r="GG299" s="90"/>
      <c r="GH299" s="90"/>
      <c r="GI299" s="91"/>
      <c r="GJ299" s="91"/>
      <c r="GK299" s="90"/>
    </row>
    <row r="300" spans="188:193" x14ac:dyDescent="0.3">
      <c r="GF300" s="89"/>
      <c r="GG300" s="90"/>
      <c r="GH300" s="90"/>
      <c r="GI300" s="91"/>
      <c r="GJ300" s="91"/>
      <c r="GK300" s="90"/>
    </row>
    <row r="301" spans="188:193" x14ac:dyDescent="0.3">
      <c r="GF301" s="89"/>
      <c r="GG301" s="90"/>
      <c r="GH301" s="90"/>
      <c r="GI301" s="91"/>
      <c r="GJ301" s="91"/>
      <c r="GK301" s="90"/>
    </row>
    <row r="302" spans="188:193" x14ac:dyDescent="0.3">
      <c r="GF302" s="89"/>
      <c r="GG302" s="90"/>
      <c r="GH302" s="90"/>
      <c r="GI302" s="91"/>
      <c r="GJ302" s="91"/>
      <c r="GK302" s="90"/>
    </row>
    <row r="303" spans="188:193" x14ac:dyDescent="0.3">
      <c r="GF303" s="89"/>
      <c r="GG303" s="90"/>
      <c r="GH303" s="90"/>
      <c r="GI303" s="91"/>
      <c r="GJ303" s="91"/>
      <c r="GK303" s="90"/>
    </row>
    <row r="304" spans="188:193" x14ac:dyDescent="0.3">
      <c r="GF304" s="89"/>
      <c r="GG304" s="90"/>
      <c r="GH304" s="90"/>
      <c r="GI304" s="91"/>
      <c r="GJ304" s="91"/>
      <c r="GK304" s="90"/>
    </row>
    <row r="305" spans="188:193" x14ac:dyDescent="0.3">
      <c r="GF305" s="89"/>
      <c r="GG305" s="90"/>
      <c r="GH305" s="90"/>
      <c r="GI305" s="91"/>
      <c r="GJ305" s="91"/>
      <c r="GK305" s="90"/>
    </row>
    <row r="306" spans="188:193" x14ac:dyDescent="0.3">
      <c r="GF306" s="89"/>
      <c r="GG306" s="90"/>
      <c r="GH306" s="90"/>
      <c r="GI306" s="91"/>
      <c r="GJ306" s="91"/>
      <c r="GK306" s="90"/>
    </row>
    <row r="307" spans="188:193" x14ac:dyDescent="0.3">
      <c r="GF307" s="89"/>
      <c r="GG307" s="90"/>
      <c r="GH307" s="90"/>
      <c r="GI307" s="91"/>
      <c r="GJ307" s="91"/>
      <c r="GK307" s="90"/>
    </row>
    <row r="308" spans="188:193" x14ac:dyDescent="0.3">
      <c r="GF308" s="89"/>
      <c r="GG308" s="90"/>
      <c r="GH308" s="90"/>
      <c r="GI308" s="91"/>
      <c r="GJ308" s="91"/>
      <c r="GK308" s="90"/>
    </row>
    <row r="309" spans="188:193" x14ac:dyDescent="0.3">
      <c r="GF309" s="89"/>
      <c r="GG309" s="90"/>
      <c r="GH309" s="90"/>
      <c r="GI309" s="91"/>
      <c r="GJ309" s="91"/>
      <c r="GK309" s="90"/>
    </row>
    <row r="310" spans="188:193" x14ac:dyDescent="0.3">
      <c r="GF310" s="89"/>
      <c r="GG310" s="90"/>
      <c r="GH310" s="90"/>
      <c r="GI310" s="91"/>
      <c r="GJ310" s="91"/>
      <c r="GK310" s="90"/>
    </row>
    <row r="311" spans="188:193" x14ac:dyDescent="0.3">
      <c r="GF311" s="89"/>
      <c r="GG311" s="90"/>
      <c r="GH311" s="90"/>
      <c r="GI311" s="91"/>
      <c r="GJ311" s="91"/>
      <c r="GK311" s="90"/>
    </row>
    <row r="312" spans="188:193" x14ac:dyDescent="0.3">
      <c r="GF312" s="89"/>
      <c r="GG312" s="90"/>
      <c r="GH312" s="90"/>
      <c r="GI312" s="91"/>
      <c r="GJ312" s="91"/>
      <c r="GK312" s="90"/>
    </row>
    <row r="313" spans="188:193" x14ac:dyDescent="0.3">
      <c r="GF313" s="89"/>
      <c r="GG313" s="90"/>
      <c r="GH313" s="90"/>
      <c r="GI313" s="91"/>
      <c r="GJ313" s="91"/>
      <c r="GK313" s="90"/>
    </row>
    <row r="314" spans="188:193" x14ac:dyDescent="0.3">
      <c r="GF314" s="89"/>
      <c r="GG314" s="90"/>
      <c r="GH314" s="90"/>
      <c r="GI314" s="91"/>
      <c r="GJ314" s="91"/>
      <c r="GK314" s="90"/>
    </row>
    <row r="315" spans="188:193" x14ac:dyDescent="0.3">
      <c r="GF315" s="89"/>
      <c r="GG315" s="90"/>
      <c r="GH315" s="90"/>
      <c r="GI315" s="91"/>
      <c r="GJ315" s="91"/>
      <c r="GK315" s="90"/>
    </row>
  </sheetData>
  <mergeCells count="16">
    <mergeCell ref="P1:Q1"/>
    <mergeCell ref="A1:B1"/>
    <mergeCell ref="D1:E1"/>
    <mergeCell ref="G1:H1"/>
    <mergeCell ref="J1:K1"/>
    <mergeCell ref="M1:N1"/>
    <mergeCell ref="GB4:GC4"/>
    <mergeCell ref="GF4:GK4"/>
    <mergeCell ref="GB7:GC7"/>
    <mergeCell ref="GB10:GC10"/>
    <mergeCell ref="S1:T1"/>
    <mergeCell ref="V1:W1"/>
    <mergeCell ref="Y1:Z1"/>
    <mergeCell ref="AB1:AC1"/>
    <mergeCell ref="AE1:AF1"/>
    <mergeCell ref="FY4:FZ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Inputs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Almeida Santos</dc:creator>
  <cp:lastModifiedBy>Governança GAPD</cp:lastModifiedBy>
  <dcterms:created xsi:type="dcterms:W3CDTF">2025-11-11T21:03:21Z</dcterms:created>
  <dcterms:modified xsi:type="dcterms:W3CDTF">2025-12-13T20:13:39Z</dcterms:modified>
</cp:coreProperties>
</file>